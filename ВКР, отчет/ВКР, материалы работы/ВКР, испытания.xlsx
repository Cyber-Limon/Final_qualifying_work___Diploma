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Загрузки\ВКР, отчет\ВКР, приложение\"/>
    </mc:Choice>
  </mc:AlternateContent>
  <xr:revisionPtr revIDLastSave="0" documentId="13_ncr:1_{C21C13FF-F290-4378-A56A-FA7EB8F2BB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1" l="1"/>
  <c r="Q25" i="1"/>
  <c r="Q26" i="1"/>
  <c r="Q27" i="1"/>
  <c r="Q28" i="1"/>
  <c r="Q11" i="1"/>
  <c r="Q12" i="1"/>
  <c r="Q13" i="1"/>
  <c r="Q14" i="1"/>
  <c r="Q15" i="1"/>
  <c r="Q16" i="1"/>
  <c r="Q17" i="1"/>
  <c r="Q18" i="1"/>
  <c r="Q19" i="1"/>
  <c r="Q21" i="1"/>
  <c r="Q22" i="1"/>
  <c r="Q23" i="1"/>
  <c r="Q24" i="1"/>
  <c r="Q7" i="1"/>
  <c r="Q8" i="1"/>
  <c r="Q9" i="1"/>
  <c r="Q10" i="1"/>
  <c r="Q6" i="1"/>
  <c r="Q5" i="1"/>
</calcChain>
</file>

<file path=xl/sharedStrings.xml><?xml version="1.0" encoding="utf-8"?>
<sst xmlns="http://schemas.openxmlformats.org/spreadsheetml/2006/main" count="81" uniqueCount="40">
  <si>
    <t>Скорость обучения</t>
  </si>
  <si>
    <t>Dropout</t>
  </si>
  <si>
    <t>Кол-во эпох</t>
  </si>
  <si>
    <t>Размер батча</t>
  </si>
  <si>
    <t>АРХИТЕКТУРА</t>
  </si>
  <si>
    <t>РЕЗУЛЬТАТ</t>
  </si>
  <si>
    <t>MAE_1</t>
  </si>
  <si>
    <t>MAE_8</t>
  </si>
  <si>
    <t>MAE_7</t>
  </si>
  <si>
    <t>MAE_6</t>
  </si>
  <si>
    <t>MAE_5</t>
  </si>
  <si>
    <t>MAE_4</t>
  </si>
  <si>
    <t>MAE_3</t>
  </si>
  <si>
    <t>MAE_2</t>
  </si>
  <si>
    <t>256 - 128 - 64 - 32</t>
  </si>
  <si>
    <t>НЕТ</t>
  </si>
  <si>
    <t>0.2 - 0.3 - 0.4 - 0.5</t>
  </si>
  <si>
    <t>0.001</t>
  </si>
  <si>
    <t>Кол-во нейронов в слое</t>
  </si>
  <si>
    <t>800 + 200</t>
  </si>
  <si>
    <t>(+/- 0.01)</t>
  </si>
  <si>
    <t>3200 + 800</t>
  </si>
  <si>
    <t>2000 + 500</t>
  </si>
  <si>
    <t>(+/- 1)</t>
  </si>
  <si>
    <t>НОМЕР</t>
  </si>
  <si>
    <t>АУГМЕНТАЦИЯ</t>
  </si>
  <si>
    <t>MSE_1</t>
  </si>
  <si>
    <t>MSE_2</t>
  </si>
  <si>
    <t>MSE_3</t>
  </si>
  <si>
    <t>MSE_4</t>
  </si>
  <si>
    <t>MSE_5</t>
  </si>
  <si>
    <t>MSE_6</t>
  </si>
  <si>
    <t>MSE_7</t>
  </si>
  <si>
    <t>MSE_8</t>
  </si>
  <si>
    <t>MSE</t>
  </si>
  <si>
    <t>MAE</t>
  </si>
  <si>
    <t>0.0001</t>
  </si>
  <si>
    <t>0.2 - 0.3 - 0.4</t>
  </si>
  <si>
    <t>256 - 128 - 64</t>
  </si>
  <si>
    <t>(+/- 0.1)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</si>
</sst>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8"/>
  <sheetViews>
    <sheetView tabSelected="1" zoomScaleNormal="100" workbookViewId="0">
      <selection activeCell="F17" sqref="F17:F18"/>
    </sheetView>
  </sheetViews>
  <sheetFormatPr defaultColWidth="10.7109375" defaultRowHeight="20.100000000000001" customHeight="1" x14ac:dyDescent="0.25"/>
  <cols>
    <col min="1" max="2" width="10.7109375" style="1" customWidth="1"/>
    <col min="3" max="8" width="30.7109375" style="1" customWidth="1"/>
    <col min="9" max="16" width="10.7109375" style="1" customWidth="1"/>
    <col min="17" max="17" width="30.7109375" style="1" customWidth="1"/>
    <col min="18" max="16384" width="10.7109375" style="1"/>
  </cols>
  <sheetData>
    <row r="1" spans="2:17" ht="20.100000000000001" customHeight="1" thickBot="1" x14ac:dyDescent="0.3"/>
    <row r="2" spans="2:17" ht="20.100000000000001" customHeight="1" thickBot="1" x14ac:dyDescent="0.3">
      <c r="B2" s="39" t="s">
        <v>24</v>
      </c>
      <c r="C2" s="24" t="s">
        <v>25</v>
      </c>
      <c r="D2" s="32" t="s">
        <v>4</v>
      </c>
      <c r="E2" s="33"/>
      <c r="F2" s="33"/>
      <c r="G2" s="33"/>
      <c r="H2" s="34"/>
      <c r="I2" s="29" t="s">
        <v>5</v>
      </c>
      <c r="J2" s="30"/>
      <c r="K2" s="30"/>
      <c r="L2" s="30"/>
      <c r="M2" s="30"/>
      <c r="N2" s="30"/>
      <c r="O2" s="30"/>
      <c r="P2" s="30"/>
      <c r="Q2" s="31"/>
    </row>
    <row r="3" spans="2:17" ht="20.100000000000001" customHeight="1" x14ac:dyDescent="0.25">
      <c r="B3" s="40"/>
      <c r="C3" s="25"/>
      <c r="D3" s="37" t="s">
        <v>18</v>
      </c>
      <c r="E3" s="27" t="s">
        <v>2</v>
      </c>
      <c r="F3" s="27" t="s">
        <v>3</v>
      </c>
      <c r="G3" s="27" t="s">
        <v>1</v>
      </c>
      <c r="H3" s="35" t="s">
        <v>0</v>
      </c>
      <c r="I3" s="8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9" t="s">
        <v>33</v>
      </c>
      <c r="Q3" s="42" t="s">
        <v>34</v>
      </c>
    </row>
    <row r="4" spans="2:17" ht="20.100000000000001" customHeight="1" thickBot="1" x14ac:dyDescent="0.3">
      <c r="B4" s="41"/>
      <c r="C4" s="26"/>
      <c r="D4" s="38"/>
      <c r="E4" s="28"/>
      <c r="F4" s="28"/>
      <c r="G4" s="28"/>
      <c r="H4" s="36"/>
      <c r="I4" s="6" t="s">
        <v>6</v>
      </c>
      <c r="J4" s="5" t="s">
        <v>13</v>
      </c>
      <c r="K4" s="5" t="s">
        <v>12</v>
      </c>
      <c r="L4" s="5" t="s">
        <v>11</v>
      </c>
      <c r="M4" s="5" t="s">
        <v>10</v>
      </c>
      <c r="N4" s="5" t="s">
        <v>9</v>
      </c>
      <c r="O4" s="5" t="s">
        <v>8</v>
      </c>
      <c r="P4" s="10" t="s">
        <v>7</v>
      </c>
      <c r="Q4" s="43" t="s">
        <v>35</v>
      </c>
    </row>
    <row r="5" spans="2:17" ht="20.100000000000001" customHeight="1" x14ac:dyDescent="0.25">
      <c r="B5" s="24">
        <v>1</v>
      </c>
      <c r="C5" s="20" t="s">
        <v>15</v>
      </c>
      <c r="D5" s="18" t="s">
        <v>14</v>
      </c>
      <c r="E5" s="20">
        <v>100</v>
      </c>
      <c r="F5" s="20">
        <v>32</v>
      </c>
      <c r="G5" s="20" t="s">
        <v>15</v>
      </c>
      <c r="H5" s="22" t="s">
        <v>17</v>
      </c>
      <c r="I5" s="14">
        <v>0.91180000000000005</v>
      </c>
      <c r="J5" s="2">
        <v>0.95750000000000002</v>
      </c>
      <c r="K5" s="2">
        <v>0.8095</v>
      </c>
      <c r="L5" s="2">
        <v>1.1919999999999999</v>
      </c>
      <c r="M5" s="2">
        <v>1.9134</v>
      </c>
      <c r="N5" s="2">
        <v>1.1578999999999999</v>
      </c>
      <c r="O5" s="2">
        <v>0.755</v>
      </c>
      <c r="P5" s="15">
        <v>3.6044999999999998</v>
      </c>
      <c r="Q5" s="12">
        <f>AVERAGE(I5:P5)</f>
        <v>1.4127000000000001</v>
      </c>
    </row>
    <row r="6" spans="2:17" ht="20.100000000000001" customHeight="1" thickBot="1" x14ac:dyDescent="0.3">
      <c r="B6" s="26"/>
      <c r="C6" s="21"/>
      <c r="D6" s="19"/>
      <c r="E6" s="21"/>
      <c r="F6" s="21"/>
      <c r="G6" s="21"/>
      <c r="H6" s="23"/>
      <c r="I6" s="3">
        <v>0.7379</v>
      </c>
      <c r="J6" s="4">
        <v>0.7026</v>
      </c>
      <c r="K6" s="4">
        <v>0.66690000000000005</v>
      </c>
      <c r="L6" s="4">
        <v>0.81269999999999998</v>
      </c>
      <c r="M6" s="4">
        <v>0.99650000000000005</v>
      </c>
      <c r="N6" s="4">
        <v>0.76119999999999999</v>
      </c>
      <c r="O6" s="4">
        <v>0.72509999999999997</v>
      </c>
      <c r="P6" s="11">
        <v>0.85089999999999999</v>
      </c>
      <c r="Q6" s="13">
        <f>AVERAGE(I6:P6)</f>
        <v>0.78172500000000011</v>
      </c>
    </row>
    <row r="7" spans="2:17" ht="20.100000000000001" customHeight="1" x14ac:dyDescent="0.25">
      <c r="B7" s="24">
        <v>2</v>
      </c>
      <c r="C7" s="20" t="s">
        <v>15</v>
      </c>
      <c r="D7" s="18" t="s">
        <v>14</v>
      </c>
      <c r="E7" s="20">
        <v>100</v>
      </c>
      <c r="F7" s="20">
        <v>32</v>
      </c>
      <c r="G7" s="20" t="s">
        <v>16</v>
      </c>
      <c r="H7" s="22" t="s">
        <v>17</v>
      </c>
      <c r="I7" s="14">
        <v>0.53759999999999997</v>
      </c>
      <c r="J7" s="2">
        <v>1.2830999999999999</v>
      </c>
      <c r="K7" s="2">
        <v>0.67559999999999998</v>
      </c>
      <c r="L7" s="2">
        <v>0.68620000000000003</v>
      </c>
      <c r="M7" s="2">
        <v>0.98880000000000001</v>
      </c>
      <c r="N7" s="2">
        <v>1.0178</v>
      </c>
      <c r="O7" s="2">
        <v>0.83340000000000003</v>
      </c>
      <c r="P7" s="15">
        <v>0.81259999999999999</v>
      </c>
      <c r="Q7" s="12">
        <f t="shared" ref="Q7:Q10" si="0">AVERAGE(I7:P7)</f>
        <v>0.85438749999999997</v>
      </c>
    </row>
    <row r="8" spans="2:17" ht="20.100000000000001" customHeight="1" thickBot="1" x14ac:dyDescent="0.3">
      <c r="B8" s="26"/>
      <c r="C8" s="21"/>
      <c r="D8" s="19"/>
      <c r="E8" s="21"/>
      <c r="F8" s="21"/>
      <c r="G8" s="21"/>
      <c r="H8" s="23"/>
      <c r="I8" s="3">
        <v>0.62639999999999996</v>
      </c>
      <c r="J8" s="4">
        <v>0.75539999999999996</v>
      </c>
      <c r="K8" s="4">
        <v>0.623</v>
      </c>
      <c r="L8" s="4">
        <v>0.67430000000000001</v>
      </c>
      <c r="M8" s="4">
        <v>0.81100000000000005</v>
      </c>
      <c r="N8" s="4">
        <v>0.68089999999999995</v>
      </c>
      <c r="O8" s="4">
        <v>0.79079999999999995</v>
      </c>
      <c r="P8" s="11">
        <v>0.61260000000000003</v>
      </c>
      <c r="Q8" s="13">
        <f t="shared" si="0"/>
        <v>0.69680000000000009</v>
      </c>
    </row>
    <row r="9" spans="2:17" ht="20.100000000000001" customHeight="1" x14ac:dyDescent="0.25">
      <c r="B9" s="24">
        <v>3</v>
      </c>
      <c r="C9" s="20" t="s">
        <v>15</v>
      </c>
      <c r="D9" s="18" t="s">
        <v>14</v>
      </c>
      <c r="E9" s="20">
        <v>100</v>
      </c>
      <c r="F9" s="20">
        <v>32</v>
      </c>
      <c r="G9" s="20" t="s">
        <v>16</v>
      </c>
      <c r="H9" s="22" t="s">
        <v>36</v>
      </c>
      <c r="I9" s="14">
        <v>1.1176999999999999</v>
      </c>
      <c r="J9" s="2">
        <v>1.0019</v>
      </c>
      <c r="K9" s="2">
        <v>0.72260000000000002</v>
      </c>
      <c r="L9" s="2">
        <v>0.87690000000000001</v>
      </c>
      <c r="M9" s="2">
        <v>1.2425999999999999</v>
      </c>
      <c r="N9" s="2">
        <v>1.0959000000000001</v>
      </c>
      <c r="O9" s="2">
        <v>0.79500000000000004</v>
      </c>
      <c r="P9" s="2">
        <v>1.0365</v>
      </c>
      <c r="Q9" s="12">
        <f t="shared" si="0"/>
        <v>0.98613750000000011</v>
      </c>
    </row>
    <row r="10" spans="2:17" ht="20.100000000000001" customHeight="1" thickBot="1" x14ac:dyDescent="0.3">
      <c r="B10" s="26"/>
      <c r="C10" s="21"/>
      <c r="D10" s="19"/>
      <c r="E10" s="21"/>
      <c r="F10" s="21"/>
      <c r="G10" s="21"/>
      <c r="H10" s="23"/>
      <c r="I10" s="3">
        <v>0.84540000000000004</v>
      </c>
      <c r="J10" s="4">
        <v>0.77559999999999996</v>
      </c>
      <c r="K10" s="4">
        <v>0.66439999999999999</v>
      </c>
      <c r="L10" s="4">
        <v>0.79969999999999997</v>
      </c>
      <c r="M10" s="4">
        <v>0.88819999999999999</v>
      </c>
      <c r="N10" s="4">
        <v>0.74309999999999998</v>
      </c>
      <c r="O10" s="4">
        <v>0.83960000000000001</v>
      </c>
      <c r="P10" s="11">
        <v>0.69199999999999995</v>
      </c>
      <c r="Q10" s="13">
        <f t="shared" si="0"/>
        <v>0.78100000000000003</v>
      </c>
    </row>
    <row r="11" spans="2:17" ht="20.100000000000001" customHeight="1" x14ac:dyDescent="0.25">
      <c r="B11" s="24">
        <v>4</v>
      </c>
      <c r="C11" s="20" t="s">
        <v>15</v>
      </c>
      <c r="D11" s="18" t="s">
        <v>14</v>
      </c>
      <c r="E11" s="20">
        <v>200</v>
      </c>
      <c r="F11" s="20">
        <v>32</v>
      </c>
      <c r="G11" s="20" t="s">
        <v>16</v>
      </c>
      <c r="H11" s="22" t="s">
        <v>17</v>
      </c>
      <c r="I11" s="14">
        <v>0.62150000000000005</v>
      </c>
      <c r="J11" s="2">
        <v>0.53659999999999997</v>
      </c>
      <c r="K11" s="2">
        <v>1.1281000000000001</v>
      </c>
      <c r="L11" s="2">
        <v>0.77129999999999999</v>
      </c>
      <c r="M11" s="2">
        <v>0.9929</v>
      </c>
      <c r="N11" s="2">
        <v>0.79410000000000003</v>
      </c>
      <c r="O11" s="2">
        <v>0.83479999999999999</v>
      </c>
      <c r="P11" s="15">
        <v>0.90300000000000002</v>
      </c>
      <c r="Q11" s="12">
        <f t="shared" ref="Q11:Q24" si="1">AVERAGE(I11:P11)</f>
        <v>0.8227875</v>
      </c>
    </row>
    <row r="12" spans="2:17" ht="20.100000000000001" customHeight="1" thickBot="1" x14ac:dyDescent="0.3">
      <c r="B12" s="26"/>
      <c r="C12" s="21"/>
      <c r="D12" s="19"/>
      <c r="E12" s="21"/>
      <c r="F12" s="21"/>
      <c r="G12" s="21"/>
      <c r="H12" s="23"/>
      <c r="I12" s="3">
        <v>0.65310000000000001</v>
      </c>
      <c r="J12" s="4">
        <v>0.59140000000000004</v>
      </c>
      <c r="K12" s="4">
        <v>0.67969999999999997</v>
      </c>
      <c r="L12" s="4">
        <v>0.72340000000000004</v>
      </c>
      <c r="M12" s="4">
        <v>0.80220000000000002</v>
      </c>
      <c r="N12" s="4">
        <v>0.66320000000000001</v>
      </c>
      <c r="O12" s="4">
        <v>0.74339999999999995</v>
      </c>
      <c r="P12" s="11">
        <v>0.63770000000000004</v>
      </c>
      <c r="Q12" s="13">
        <f t="shared" si="1"/>
        <v>0.68676249999999994</v>
      </c>
    </row>
    <row r="13" spans="2:17" ht="20.100000000000001" customHeight="1" x14ac:dyDescent="0.25">
      <c r="B13" s="24">
        <v>5</v>
      </c>
      <c r="C13" s="20" t="s">
        <v>15</v>
      </c>
      <c r="D13" s="18" t="s">
        <v>14</v>
      </c>
      <c r="E13" s="20">
        <v>100</v>
      </c>
      <c r="F13" s="20">
        <v>64</v>
      </c>
      <c r="G13" s="20" t="s">
        <v>16</v>
      </c>
      <c r="H13" s="22" t="s">
        <v>17</v>
      </c>
      <c r="I13" s="14">
        <v>0.85170000000000001</v>
      </c>
      <c r="J13" s="2">
        <v>0.6119</v>
      </c>
      <c r="K13" s="2">
        <v>2.2107000000000001</v>
      </c>
      <c r="L13" s="2">
        <v>0.78090000000000004</v>
      </c>
      <c r="M13" s="2">
        <v>1.2579</v>
      </c>
      <c r="N13" s="2">
        <v>1.0106999999999999</v>
      </c>
      <c r="O13" s="2">
        <v>0.78810000000000002</v>
      </c>
      <c r="P13" s="15">
        <v>0.75019999999999998</v>
      </c>
      <c r="Q13" s="12">
        <f t="shared" si="1"/>
        <v>1.0327625</v>
      </c>
    </row>
    <row r="14" spans="2:17" ht="20.100000000000001" customHeight="1" thickBot="1" x14ac:dyDescent="0.3">
      <c r="B14" s="26"/>
      <c r="C14" s="21"/>
      <c r="D14" s="19"/>
      <c r="E14" s="21"/>
      <c r="F14" s="21"/>
      <c r="G14" s="21"/>
      <c r="H14" s="23"/>
      <c r="I14" s="3">
        <v>0.89119999999999999</v>
      </c>
      <c r="J14" s="4">
        <v>0.63139999999999996</v>
      </c>
      <c r="K14" s="4">
        <v>0.79769999999999996</v>
      </c>
      <c r="L14" s="4">
        <v>0.75960000000000005</v>
      </c>
      <c r="M14" s="4">
        <v>0.89929999999999999</v>
      </c>
      <c r="N14" s="4">
        <v>0.64290000000000003</v>
      </c>
      <c r="O14" s="4">
        <v>0.7581</v>
      </c>
      <c r="P14" s="11">
        <v>0.60029999999999994</v>
      </c>
      <c r="Q14" s="13">
        <f t="shared" si="1"/>
        <v>0.74756250000000002</v>
      </c>
    </row>
    <row r="15" spans="2:17" ht="20.100000000000001" customHeight="1" x14ac:dyDescent="0.25">
      <c r="B15" s="24">
        <v>6</v>
      </c>
      <c r="C15" s="20" t="s">
        <v>15</v>
      </c>
      <c r="D15" s="18" t="s">
        <v>38</v>
      </c>
      <c r="E15" s="20">
        <v>100</v>
      </c>
      <c r="F15" s="20">
        <v>32</v>
      </c>
      <c r="G15" s="20" t="s">
        <v>37</v>
      </c>
      <c r="H15" s="22" t="s">
        <v>17</v>
      </c>
      <c r="I15" s="14">
        <v>0.53510000000000002</v>
      </c>
      <c r="J15" s="2">
        <v>0.96040000000000003</v>
      </c>
      <c r="K15" s="2">
        <v>1.1451</v>
      </c>
      <c r="L15" s="2">
        <v>1.3931</v>
      </c>
      <c r="M15" s="2">
        <v>1.8352999999999999</v>
      </c>
      <c r="N15" s="2">
        <v>1.3198000000000001</v>
      </c>
      <c r="O15" s="2">
        <v>1.1335</v>
      </c>
      <c r="P15" s="15">
        <v>1.3740000000000001</v>
      </c>
      <c r="Q15" s="12">
        <f t="shared" si="1"/>
        <v>1.2120375000000001</v>
      </c>
    </row>
    <row r="16" spans="2:17" ht="20.100000000000001" customHeight="1" thickBot="1" x14ac:dyDescent="0.3">
      <c r="B16" s="26"/>
      <c r="C16" s="21"/>
      <c r="D16" s="19"/>
      <c r="E16" s="21"/>
      <c r="F16" s="21"/>
      <c r="G16" s="21"/>
      <c r="H16" s="23"/>
      <c r="I16" s="3">
        <v>0.59289999999999998</v>
      </c>
      <c r="J16" s="4">
        <v>0.67830000000000001</v>
      </c>
      <c r="K16" s="4">
        <v>0.67789999999999995</v>
      </c>
      <c r="L16" s="4">
        <v>0.78539999999999999</v>
      </c>
      <c r="M16" s="4">
        <v>0.94269999999999998</v>
      </c>
      <c r="N16" s="4">
        <v>0.77270000000000005</v>
      </c>
      <c r="O16" s="4">
        <v>0.79630000000000001</v>
      </c>
      <c r="P16" s="11">
        <v>0.64600000000000002</v>
      </c>
      <c r="Q16" s="13">
        <f t="shared" si="1"/>
        <v>0.73652499999999999</v>
      </c>
    </row>
    <row r="17" spans="2:17" ht="20.100000000000001" customHeight="1" x14ac:dyDescent="0.25">
      <c r="B17" s="24">
        <v>7</v>
      </c>
      <c r="C17" s="16" t="s">
        <v>19</v>
      </c>
      <c r="D17" s="18" t="s">
        <v>14</v>
      </c>
      <c r="E17" s="20">
        <v>100</v>
      </c>
      <c r="F17" s="20">
        <v>32</v>
      </c>
      <c r="G17" s="20" t="s">
        <v>16</v>
      </c>
      <c r="H17" s="22" t="s">
        <v>17</v>
      </c>
      <c r="I17" s="14">
        <v>0.61109999999999998</v>
      </c>
      <c r="J17" s="2">
        <v>0.48499999999999999</v>
      </c>
      <c r="K17" s="2">
        <v>0.72089999999999999</v>
      </c>
      <c r="L17" s="2">
        <v>0.73</v>
      </c>
      <c r="M17" s="2">
        <v>0.63200000000000001</v>
      </c>
      <c r="N17" s="2">
        <v>0.51970000000000005</v>
      </c>
      <c r="O17" s="2">
        <v>0.84260000000000002</v>
      </c>
      <c r="P17" s="15">
        <v>0.74250000000000005</v>
      </c>
      <c r="Q17" s="12">
        <f t="shared" si="1"/>
        <v>0.66047499999999992</v>
      </c>
    </row>
    <row r="18" spans="2:17" ht="20.100000000000001" customHeight="1" thickBot="1" x14ac:dyDescent="0.3">
      <c r="B18" s="26"/>
      <c r="C18" s="17" t="s">
        <v>20</v>
      </c>
      <c r="D18" s="19"/>
      <c r="E18" s="21"/>
      <c r="F18" s="21"/>
      <c r="G18" s="21"/>
      <c r="H18" s="23"/>
      <c r="I18" s="3">
        <v>0.41020000000000001</v>
      </c>
      <c r="J18" s="4">
        <v>0.35420000000000001</v>
      </c>
      <c r="K18" s="4">
        <v>0.55449999999999999</v>
      </c>
      <c r="L18" s="4">
        <v>0.58140000000000003</v>
      </c>
      <c r="M18" s="4">
        <v>0.56179999999999997</v>
      </c>
      <c r="N18" s="4">
        <v>0.49399999999999999</v>
      </c>
      <c r="O18" s="4">
        <v>0.55679999999999996</v>
      </c>
      <c r="P18" s="11">
        <v>0.39100000000000001</v>
      </c>
      <c r="Q18" s="13">
        <f t="shared" si="1"/>
        <v>0.48798750000000002</v>
      </c>
    </row>
    <row r="19" spans="2:17" ht="20.100000000000001" customHeight="1" x14ac:dyDescent="0.25">
      <c r="B19" s="44">
        <v>8</v>
      </c>
      <c r="C19" s="53" t="s">
        <v>22</v>
      </c>
      <c r="D19" s="54" t="s">
        <v>14</v>
      </c>
      <c r="E19" s="55">
        <v>100</v>
      </c>
      <c r="F19" s="55">
        <v>32</v>
      </c>
      <c r="G19" s="55" t="s">
        <v>16</v>
      </c>
      <c r="H19" s="56" t="s">
        <v>17</v>
      </c>
      <c r="I19" s="57">
        <v>0.41089999999999999</v>
      </c>
      <c r="J19" s="58">
        <v>0.66979999999999995</v>
      </c>
      <c r="K19" s="58">
        <v>0.88670000000000004</v>
      </c>
      <c r="L19" s="58">
        <v>0.93230000000000002</v>
      </c>
      <c r="M19" s="58">
        <v>0.86419999999999997</v>
      </c>
      <c r="N19" s="58">
        <v>0.38850000000000001</v>
      </c>
      <c r="O19" s="58">
        <v>0.81269999999999998</v>
      </c>
      <c r="P19" s="59">
        <v>0.68120000000000003</v>
      </c>
      <c r="Q19" s="60">
        <f t="shared" si="1"/>
        <v>0.70578750000000001</v>
      </c>
    </row>
    <row r="20" spans="2:17" ht="20.100000000000001" customHeight="1" thickBot="1" x14ac:dyDescent="0.3">
      <c r="B20" s="61"/>
      <c r="C20" s="62" t="s">
        <v>20</v>
      </c>
      <c r="D20" s="63"/>
      <c r="E20" s="64"/>
      <c r="F20" s="64"/>
      <c r="G20" s="64"/>
      <c r="H20" s="65"/>
      <c r="I20" s="66">
        <v>0.27429999999999999</v>
      </c>
      <c r="J20" s="67">
        <v>0.40100000000000002</v>
      </c>
      <c r="K20" s="67">
        <v>0.51490000000000002</v>
      </c>
      <c r="L20" s="67">
        <v>0.60189999999999999</v>
      </c>
      <c r="M20" s="67">
        <v>0.62770000000000004</v>
      </c>
      <c r="N20" s="67">
        <v>0.42709999999999998</v>
      </c>
      <c r="O20" s="67">
        <v>0.5111</v>
      </c>
      <c r="P20" s="68">
        <v>0.33589999999999998</v>
      </c>
      <c r="Q20" s="69">
        <f>AVERAGE(I20:P20)</f>
        <v>0.46173749999999997</v>
      </c>
    </row>
    <row r="21" spans="2:17" ht="20.100000000000001" customHeight="1" x14ac:dyDescent="0.25">
      <c r="B21" s="24">
        <v>9</v>
      </c>
      <c r="C21" s="16" t="s">
        <v>22</v>
      </c>
      <c r="D21" s="18" t="s">
        <v>14</v>
      </c>
      <c r="E21" s="20">
        <v>100</v>
      </c>
      <c r="F21" s="20">
        <v>32</v>
      </c>
      <c r="G21" s="20" t="s">
        <v>16</v>
      </c>
      <c r="H21" s="22" t="s">
        <v>17</v>
      </c>
      <c r="I21" s="14">
        <v>0.49719999999999998</v>
      </c>
      <c r="J21" s="2">
        <v>0.9849</v>
      </c>
      <c r="K21" s="2">
        <v>0.62329999999999997</v>
      </c>
      <c r="L21" s="2">
        <v>0.84299999999999997</v>
      </c>
      <c r="M21" s="2">
        <v>0.97989999999999999</v>
      </c>
      <c r="N21" s="2">
        <v>0.3901</v>
      </c>
      <c r="O21" s="2">
        <v>0.9667</v>
      </c>
      <c r="P21" s="15">
        <v>0.78879999999999995</v>
      </c>
      <c r="Q21" s="12">
        <f t="shared" si="1"/>
        <v>0.75923750000000012</v>
      </c>
    </row>
    <row r="22" spans="2:17" ht="20.100000000000001" customHeight="1" thickBot="1" x14ac:dyDescent="0.3">
      <c r="B22" s="26"/>
      <c r="C22" s="17" t="s">
        <v>39</v>
      </c>
      <c r="D22" s="19"/>
      <c r="E22" s="21"/>
      <c r="F22" s="21"/>
      <c r="G22" s="21"/>
      <c r="H22" s="23"/>
      <c r="I22" s="3">
        <v>0.3448</v>
      </c>
      <c r="J22" s="4">
        <v>0.46910000000000002</v>
      </c>
      <c r="K22" s="4">
        <v>0.50009999999999999</v>
      </c>
      <c r="L22" s="4">
        <v>0.56850000000000001</v>
      </c>
      <c r="M22" s="4">
        <v>0.68740000000000001</v>
      </c>
      <c r="N22" s="4">
        <v>0.42509999999999998</v>
      </c>
      <c r="O22" s="4">
        <v>0.59089999999999998</v>
      </c>
      <c r="P22" s="11">
        <v>0.42899999999999999</v>
      </c>
      <c r="Q22" s="13">
        <f t="shared" si="1"/>
        <v>0.50186249999999999</v>
      </c>
    </row>
    <row r="23" spans="2:17" ht="20.100000000000001" customHeight="1" x14ac:dyDescent="0.25">
      <c r="B23" s="24">
        <v>10</v>
      </c>
      <c r="C23" s="51" t="s">
        <v>22</v>
      </c>
      <c r="D23" s="18" t="s">
        <v>14</v>
      </c>
      <c r="E23" s="20">
        <v>100</v>
      </c>
      <c r="F23" s="20">
        <v>32</v>
      </c>
      <c r="G23" s="20" t="s">
        <v>16</v>
      </c>
      <c r="H23" s="22" t="s">
        <v>17</v>
      </c>
      <c r="I23" s="49">
        <v>0.4854</v>
      </c>
      <c r="J23" s="45">
        <v>0.79990000000000006</v>
      </c>
      <c r="K23" s="45">
        <v>0.95609999999999995</v>
      </c>
      <c r="L23" s="45">
        <v>0.73699999999999999</v>
      </c>
      <c r="M23" s="45">
        <v>0.96409999999999996</v>
      </c>
      <c r="N23" s="45">
        <v>0.44490000000000002</v>
      </c>
      <c r="O23" s="45">
        <v>0.70550000000000002</v>
      </c>
      <c r="P23" s="50">
        <v>0.6895</v>
      </c>
      <c r="Q23" s="12">
        <f t="shared" si="1"/>
        <v>0.72279999999999989</v>
      </c>
    </row>
    <row r="24" spans="2:17" ht="20.100000000000001" customHeight="1" thickBot="1" x14ac:dyDescent="0.3">
      <c r="B24" s="26"/>
      <c r="C24" s="52" t="s">
        <v>23</v>
      </c>
      <c r="D24" s="19"/>
      <c r="E24" s="21"/>
      <c r="F24" s="21"/>
      <c r="G24" s="21"/>
      <c r="H24" s="23"/>
      <c r="I24" s="46">
        <v>0.33929999999999999</v>
      </c>
      <c r="J24" s="47">
        <v>0.42770000000000002</v>
      </c>
      <c r="K24" s="47">
        <v>0.58620000000000005</v>
      </c>
      <c r="L24" s="47">
        <v>0.58679999999999999</v>
      </c>
      <c r="M24" s="47">
        <v>0.68959999999999999</v>
      </c>
      <c r="N24" s="47">
        <v>0.45500000000000002</v>
      </c>
      <c r="O24" s="47">
        <v>0.48809999999999998</v>
      </c>
      <c r="P24" s="48">
        <v>0.36959999999999998</v>
      </c>
      <c r="Q24" s="13">
        <f t="shared" si="1"/>
        <v>0.49278750000000004</v>
      </c>
    </row>
    <row r="25" spans="2:17" ht="20.100000000000001" customHeight="1" x14ac:dyDescent="0.25">
      <c r="B25" s="24">
        <v>11</v>
      </c>
      <c r="C25" s="51" t="s">
        <v>22</v>
      </c>
      <c r="D25" s="18" t="s">
        <v>14</v>
      </c>
      <c r="E25" s="20">
        <v>50</v>
      </c>
      <c r="F25" s="20">
        <v>16</v>
      </c>
      <c r="G25" s="20" t="s">
        <v>16</v>
      </c>
      <c r="H25" s="22" t="s">
        <v>17</v>
      </c>
      <c r="I25" s="49">
        <v>0.59160000000000001</v>
      </c>
      <c r="J25" s="45">
        <v>0.65790000000000004</v>
      </c>
      <c r="K25" s="45">
        <v>0.86460000000000004</v>
      </c>
      <c r="L25" s="45">
        <v>0.96240000000000003</v>
      </c>
      <c r="M25" s="45">
        <v>0.77049999999999996</v>
      </c>
      <c r="N25" s="45">
        <v>0.34</v>
      </c>
      <c r="O25" s="45">
        <v>0.7581</v>
      </c>
      <c r="P25" s="50">
        <v>0.66159999999999997</v>
      </c>
      <c r="Q25" s="12">
        <f t="shared" ref="Q25:Q28" si="2">AVERAGE(I25:P25)</f>
        <v>0.7008375</v>
      </c>
    </row>
    <row r="26" spans="2:17" ht="20.100000000000001" customHeight="1" thickBot="1" x14ac:dyDescent="0.3">
      <c r="B26" s="26"/>
      <c r="C26" s="52" t="s">
        <v>20</v>
      </c>
      <c r="D26" s="19"/>
      <c r="E26" s="21"/>
      <c r="F26" s="21"/>
      <c r="G26" s="21"/>
      <c r="H26" s="23"/>
      <c r="I26" s="46">
        <v>0.36919999999999997</v>
      </c>
      <c r="J26" s="47">
        <v>0.38750000000000001</v>
      </c>
      <c r="K26" s="47">
        <v>0.57530000000000003</v>
      </c>
      <c r="L26" s="47">
        <v>0.59489999999999998</v>
      </c>
      <c r="M26" s="47">
        <v>0.64380000000000004</v>
      </c>
      <c r="N26" s="47">
        <v>0.4118</v>
      </c>
      <c r="O26" s="47">
        <v>0.4955</v>
      </c>
      <c r="P26" s="48">
        <v>0.34539999999999998</v>
      </c>
      <c r="Q26" s="13">
        <f t="shared" si="2"/>
        <v>0.47792499999999999</v>
      </c>
    </row>
    <row r="27" spans="2:17" ht="20.100000000000001" customHeight="1" x14ac:dyDescent="0.25">
      <c r="B27" s="24">
        <v>12</v>
      </c>
      <c r="C27" s="51" t="s">
        <v>21</v>
      </c>
      <c r="D27" s="18" t="s">
        <v>14</v>
      </c>
      <c r="E27" s="20">
        <v>100</v>
      </c>
      <c r="F27" s="20">
        <v>32</v>
      </c>
      <c r="G27" s="20" t="s">
        <v>16</v>
      </c>
      <c r="H27" s="22" t="s">
        <v>17</v>
      </c>
      <c r="I27" s="49">
        <v>0.66749999999999998</v>
      </c>
      <c r="J27" s="45">
        <v>0.61429999999999996</v>
      </c>
      <c r="K27" s="45">
        <v>0.83650000000000002</v>
      </c>
      <c r="L27" s="45">
        <v>0.92549999999999999</v>
      </c>
      <c r="M27" s="45">
        <v>1.0414000000000001</v>
      </c>
      <c r="N27" s="45">
        <v>0.58620000000000005</v>
      </c>
      <c r="O27" s="45">
        <v>0.92300000000000004</v>
      </c>
      <c r="P27" s="50">
        <v>0.71919999999999995</v>
      </c>
      <c r="Q27" s="12">
        <f t="shared" si="2"/>
        <v>0.78920000000000001</v>
      </c>
    </row>
    <row r="28" spans="2:17" ht="20.100000000000001" customHeight="1" thickBot="1" x14ac:dyDescent="0.3">
      <c r="B28" s="26"/>
      <c r="C28" s="52" t="s">
        <v>20</v>
      </c>
      <c r="D28" s="19"/>
      <c r="E28" s="21"/>
      <c r="F28" s="21"/>
      <c r="G28" s="21"/>
      <c r="H28" s="23"/>
      <c r="I28" s="46">
        <v>0.37040000000000001</v>
      </c>
      <c r="J28" s="47">
        <v>0.37569999999999998</v>
      </c>
      <c r="K28" s="47">
        <v>0.56799999999999995</v>
      </c>
      <c r="L28" s="47">
        <v>0.56410000000000005</v>
      </c>
      <c r="M28" s="47">
        <v>0.67779999999999996</v>
      </c>
      <c r="N28" s="47">
        <v>0.52390000000000003</v>
      </c>
      <c r="O28" s="47">
        <v>0.56040000000000001</v>
      </c>
      <c r="P28" s="48">
        <v>0.33329999999999999</v>
      </c>
      <c r="Q28" s="13">
        <f t="shared" si="2"/>
        <v>0.49670000000000003</v>
      </c>
    </row>
  </sheetData>
  <mergeCells count="87">
    <mergeCell ref="B21:B22"/>
    <mergeCell ref="B23:B24"/>
    <mergeCell ref="B25:B26"/>
    <mergeCell ref="B27:B28"/>
    <mergeCell ref="D21:D22"/>
    <mergeCell ref="D17:D18"/>
    <mergeCell ref="D11:D12"/>
    <mergeCell ref="C9:C10"/>
    <mergeCell ref="C11:C12"/>
    <mergeCell ref="C13:C14"/>
    <mergeCell ref="C15:C16"/>
    <mergeCell ref="D23:D24"/>
    <mergeCell ref="B2:B4"/>
    <mergeCell ref="B5:B6"/>
    <mergeCell ref="B7:B8"/>
    <mergeCell ref="B9:B10"/>
    <mergeCell ref="B11:B12"/>
    <mergeCell ref="B13:B14"/>
    <mergeCell ref="B15:B16"/>
    <mergeCell ref="B17:B18"/>
    <mergeCell ref="B19:B20"/>
    <mergeCell ref="D13:D14"/>
    <mergeCell ref="D3:D4"/>
    <mergeCell ref="G25:G26"/>
    <mergeCell ref="H25:H26"/>
    <mergeCell ref="E27:E28"/>
    <mergeCell ref="F27:F28"/>
    <mergeCell ref="G27:G28"/>
    <mergeCell ref="H27:H28"/>
    <mergeCell ref="D27:D28"/>
    <mergeCell ref="D25:D26"/>
    <mergeCell ref="E25:E26"/>
    <mergeCell ref="F25:F26"/>
    <mergeCell ref="E9:E10"/>
    <mergeCell ref="G9:G10"/>
    <mergeCell ref="G11:G12"/>
    <mergeCell ref="H11:H12"/>
    <mergeCell ref="E13:E14"/>
    <mergeCell ref="F13:F14"/>
    <mergeCell ref="G13:G14"/>
    <mergeCell ref="E11:E12"/>
    <mergeCell ref="F11:F12"/>
    <mergeCell ref="H13:H14"/>
    <mergeCell ref="D15:D16"/>
    <mergeCell ref="E15:E16"/>
    <mergeCell ref="D9:D10"/>
    <mergeCell ref="F15:F16"/>
    <mergeCell ref="I2:Q2"/>
    <mergeCell ref="E3:E4"/>
    <mergeCell ref="D5:D6"/>
    <mergeCell ref="E5:E6"/>
    <mergeCell ref="F9:F10"/>
    <mergeCell ref="F5:F6"/>
    <mergeCell ref="H5:H6"/>
    <mergeCell ref="G7:G8"/>
    <mergeCell ref="H7:H8"/>
    <mergeCell ref="G5:G6"/>
    <mergeCell ref="D2:H2"/>
    <mergeCell ref="H3:H4"/>
    <mergeCell ref="G3:G4"/>
    <mergeCell ref="D7:D8"/>
    <mergeCell ref="E7:E8"/>
    <mergeCell ref="F7:F8"/>
    <mergeCell ref="E17:E18"/>
    <mergeCell ref="F17:F18"/>
    <mergeCell ref="G17:G18"/>
    <mergeCell ref="E21:E22"/>
    <mergeCell ref="F21:F22"/>
    <mergeCell ref="G21:G22"/>
    <mergeCell ref="E23:E24"/>
    <mergeCell ref="F23:F24"/>
    <mergeCell ref="G23:G24"/>
    <mergeCell ref="H23:H24"/>
    <mergeCell ref="H21:H22"/>
    <mergeCell ref="C2:C4"/>
    <mergeCell ref="C5:C6"/>
    <mergeCell ref="C7:C8"/>
    <mergeCell ref="D19:D20"/>
    <mergeCell ref="E19:E20"/>
    <mergeCell ref="F19:F20"/>
    <mergeCell ref="H17:H18"/>
    <mergeCell ref="G15:G16"/>
    <mergeCell ref="H15:H16"/>
    <mergeCell ref="H9:H10"/>
    <mergeCell ref="F3:F4"/>
    <mergeCell ref="G19:G20"/>
    <mergeCell ref="H19:H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Sharigin</dc:creator>
  <cp:lastModifiedBy>Maxim Sharigin</cp:lastModifiedBy>
  <dcterms:created xsi:type="dcterms:W3CDTF">2015-06-05T18:19:34Z</dcterms:created>
  <dcterms:modified xsi:type="dcterms:W3CDTF">2026-06-15T07:29:33Z</dcterms:modified>
</cp:coreProperties>
</file>