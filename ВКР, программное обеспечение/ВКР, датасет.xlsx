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xim\PycharmProjects\Diploma\"/>
    </mc:Choice>
  </mc:AlternateContent>
  <xr:revisionPtr revIDLastSave="0" documentId="13_ncr:1_{7ED44AC7-2832-4DFC-B278-9CDBE1E656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4" i="1" l="1"/>
  <c r="I174" i="1"/>
  <c r="AC85" i="1"/>
  <c r="N59" i="1"/>
  <c r="M59" i="1"/>
  <c r="L59" i="1"/>
  <c r="G59" i="1"/>
  <c r="C57" i="1"/>
  <c r="Z53" i="1"/>
  <c r="I53" i="1"/>
  <c r="C42" i="1"/>
  <c r="L38" i="1"/>
  <c r="I38" i="1"/>
  <c r="AC37" i="1"/>
  <c r="AB37" i="1"/>
  <c r="P37" i="1"/>
  <c r="L36" i="1"/>
  <c r="P35" i="1"/>
  <c r="AB33" i="1"/>
  <c r="AA33" i="1"/>
  <c r="Z33" i="1"/>
  <c r="AA32" i="1"/>
  <c r="Z32" i="1"/>
  <c r="Y32" i="1"/>
  <c r="U32" i="1"/>
  <c r="P32" i="1"/>
  <c r="I32" i="1"/>
  <c r="S31" i="1"/>
  <c r="H31" i="1"/>
  <c r="AB30" i="1"/>
  <c r="Z30" i="1"/>
  <c r="L29" i="1"/>
  <c r="N25" i="1"/>
  <c r="I25" i="1"/>
  <c r="D25" i="1"/>
</calcChain>
</file>

<file path=xl/sharedStrings.xml><?xml version="1.0" encoding="utf-8"?>
<sst xmlns="http://schemas.openxmlformats.org/spreadsheetml/2006/main" count="30" uniqueCount="30">
  <si>
    <t>NUM</t>
  </si>
  <si>
    <t>W</t>
  </si>
  <si>
    <t>C</t>
  </si>
  <si>
    <t>V</t>
  </si>
  <si>
    <t>B</t>
  </si>
  <si>
    <t>S</t>
  </si>
  <si>
    <t>g</t>
  </si>
  <si>
    <t>E</t>
  </si>
  <si>
    <t>HV10</t>
  </si>
  <si>
    <t>Rm</t>
  </si>
  <si>
    <t>Rp0.2</t>
  </si>
  <si>
    <t>A5</t>
  </si>
  <si>
    <t>КТР20-600</t>
  </si>
  <si>
    <t>КТР25-500</t>
  </si>
  <si>
    <t>Ni</t>
  </si>
  <si>
    <t>Cr</t>
  </si>
  <si>
    <t>Co</t>
  </si>
  <si>
    <t>Mo</t>
  </si>
  <si>
    <t>Ti</t>
  </si>
  <si>
    <t>Al</t>
  </si>
  <si>
    <t>Ta</t>
  </si>
  <si>
    <t>Nb</t>
  </si>
  <si>
    <t>Si</t>
  </si>
  <si>
    <t>Mn</t>
  </si>
  <si>
    <t>Fe</t>
  </si>
  <si>
    <t>Ce</t>
  </si>
  <si>
    <t>Cu</t>
  </si>
  <si>
    <t>Be</t>
  </si>
  <si>
    <t>La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</si>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</sst>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/>
    </xf>
    <xf numFmtId="1" fontId="3" fillId="0" borderId="13" xfId="0" applyNumberFormat="1" applyFont="1" applyBorder="1" applyAlignment="1">
      <alignment horizontal="right" vertical="center"/>
    </xf>
    <xf numFmtId="1" fontId="3" fillId="0" borderId="14" xfId="0" applyNumberFormat="1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3" fillId="0" borderId="19" xfId="0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22" width="10.7109375" customWidth="1"/>
    <col min="23" max="30" width="15.7109375" customWidth="1"/>
  </cols>
  <sheetData>
    <row r="1" spans="1:30" ht="15" customHeight="1" thickBot="1" x14ac:dyDescent="0.3">
      <c r="A1" s="1" t="s">
        <v>0</v>
      </c>
      <c r="B1" s="2" t="s">
        <v>14</v>
      </c>
      <c r="C1" s="3" t="s">
        <v>15</v>
      </c>
      <c r="D1" s="3" t="s">
        <v>16</v>
      </c>
      <c r="E1" s="3" t="s">
        <v>1</v>
      </c>
      <c r="F1" s="3" t="s">
        <v>17</v>
      </c>
      <c r="G1" s="3" t="s">
        <v>18</v>
      </c>
      <c r="H1" s="3" t="s">
        <v>19</v>
      </c>
      <c r="I1" s="3" t="s">
        <v>2</v>
      </c>
      <c r="J1" s="3" t="s">
        <v>3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4</v>
      </c>
      <c r="T1" s="3" t="s">
        <v>5</v>
      </c>
      <c r="U1" s="3" t="s">
        <v>28</v>
      </c>
      <c r="V1" s="4" t="s">
        <v>29</v>
      </c>
      <c r="W1" s="5" t="s">
        <v>6</v>
      </c>
      <c r="X1" s="3" t="s">
        <v>7</v>
      </c>
      <c r="Y1" s="3" t="s">
        <v>8</v>
      </c>
      <c r="Z1" s="3" t="s">
        <v>9</v>
      </c>
      <c r="AA1" s="3" t="s">
        <v>10</v>
      </c>
      <c r="AB1" s="3" t="s">
        <v>11</v>
      </c>
      <c r="AC1" s="3" t="s">
        <v>12</v>
      </c>
      <c r="AD1" s="4" t="s">
        <v>13</v>
      </c>
    </row>
    <row r="2" spans="1:30" ht="15" customHeight="1" x14ac:dyDescent="0.25">
      <c r="A2" s="6">
        <v>1</v>
      </c>
      <c r="B2" s="7">
        <v>65</v>
      </c>
      <c r="C2" s="8">
        <v>22.5</v>
      </c>
      <c r="D2" s="8">
        <v>0</v>
      </c>
      <c r="E2" s="8">
        <v>0</v>
      </c>
      <c r="F2" s="8">
        <v>9.5</v>
      </c>
      <c r="G2" s="8">
        <v>0</v>
      </c>
      <c r="H2" s="8">
        <v>0</v>
      </c>
      <c r="I2" s="8">
        <v>0.02</v>
      </c>
      <c r="J2" s="8">
        <v>0</v>
      </c>
      <c r="K2" s="8">
        <v>0</v>
      </c>
      <c r="L2" s="8">
        <v>1</v>
      </c>
      <c r="M2" s="8">
        <v>1</v>
      </c>
      <c r="N2" s="8">
        <v>0</v>
      </c>
      <c r="O2" s="8">
        <v>0.5</v>
      </c>
      <c r="P2" s="8">
        <v>0.5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9">
        <v>0</v>
      </c>
      <c r="W2" s="10">
        <v>8.1999999999999993</v>
      </c>
      <c r="X2" s="11">
        <v>205</v>
      </c>
      <c r="Y2" s="11">
        <v>300</v>
      </c>
      <c r="Z2" s="11">
        <v>0</v>
      </c>
      <c r="AA2" s="11">
        <v>330</v>
      </c>
      <c r="AB2" s="11">
        <v>25</v>
      </c>
      <c r="AC2" s="11">
        <v>14</v>
      </c>
      <c r="AD2" s="12">
        <v>13.8</v>
      </c>
    </row>
    <row r="3" spans="1:30" ht="15" customHeight="1" x14ac:dyDescent="0.25">
      <c r="A3" s="13">
        <v>2</v>
      </c>
      <c r="B3" s="14">
        <v>64</v>
      </c>
      <c r="C3" s="15">
        <v>24</v>
      </c>
      <c r="D3" s="15">
        <v>0</v>
      </c>
      <c r="E3" s="15">
        <v>0</v>
      </c>
      <c r="F3" s="15">
        <v>10</v>
      </c>
      <c r="G3" s="15">
        <v>0</v>
      </c>
      <c r="H3" s="15">
        <v>0</v>
      </c>
      <c r="I3" s="15">
        <v>0.02</v>
      </c>
      <c r="J3" s="15">
        <v>0</v>
      </c>
      <c r="K3" s="15">
        <v>0</v>
      </c>
      <c r="L3" s="15">
        <v>0</v>
      </c>
      <c r="M3" s="15">
        <v>1.5</v>
      </c>
      <c r="N3" s="15">
        <v>0</v>
      </c>
      <c r="O3" s="15">
        <v>0</v>
      </c>
      <c r="P3" s="15">
        <v>0.5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6">
        <v>0</v>
      </c>
      <c r="W3" s="14">
        <v>8.1999999999999993</v>
      </c>
      <c r="X3" s="15">
        <v>200</v>
      </c>
      <c r="Y3" s="15">
        <v>180</v>
      </c>
      <c r="Z3" s="15">
        <v>0</v>
      </c>
      <c r="AA3" s="15">
        <v>360</v>
      </c>
      <c r="AB3" s="15">
        <v>15</v>
      </c>
      <c r="AC3" s="15">
        <v>14.1</v>
      </c>
      <c r="AD3" s="16">
        <v>13.9</v>
      </c>
    </row>
    <row r="4" spans="1:30" ht="15" customHeight="1" x14ac:dyDescent="0.25">
      <c r="A4" s="13">
        <v>3</v>
      </c>
      <c r="B4" s="14">
        <v>68.5</v>
      </c>
      <c r="C4" s="15">
        <v>21</v>
      </c>
      <c r="D4" s="15">
        <v>0</v>
      </c>
      <c r="E4" s="15">
        <v>0</v>
      </c>
      <c r="F4" s="15">
        <v>6</v>
      </c>
      <c r="G4" s="15">
        <v>0</v>
      </c>
      <c r="H4" s="15">
        <v>0</v>
      </c>
      <c r="I4" s="15">
        <v>0.02</v>
      </c>
      <c r="J4" s="15">
        <v>0</v>
      </c>
      <c r="K4" s="15">
        <v>0</v>
      </c>
      <c r="L4" s="15">
        <v>0</v>
      </c>
      <c r="M4" s="15">
        <v>3.5</v>
      </c>
      <c r="N4" s="15">
        <v>0</v>
      </c>
      <c r="O4" s="15">
        <v>0</v>
      </c>
      <c r="P4" s="15">
        <v>0.5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6">
        <v>0</v>
      </c>
      <c r="W4" s="14">
        <v>8.1999999999999993</v>
      </c>
      <c r="X4" s="15">
        <v>215</v>
      </c>
      <c r="Y4" s="15">
        <v>200</v>
      </c>
      <c r="Z4" s="15">
        <v>0</v>
      </c>
      <c r="AA4" s="15">
        <v>440</v>
      </c>
      <c r="AB4" s="15">
        <v>4.5</v>
      </c>
      <c r="AC4" s="15">
        <v>14.3</v>
      </c>
      <c r="AD4" s="16">
        <v>13.9</v>
      </c>
    </row>
    <row r="5" spans="1:30" ht="15" customHeight="1" x14ac:dyDescent="0.25">
      <c r="A5" s="13">
        <v>4</v>
      </c>
      <c r="B5" s="14">
        <v>69</v>
      </c>
      <c r="C5" s="15">
        <v>22</v>
      </c>
      <c r="D5" s="15">
        <v>0</v>
      </c>
      <c r="E5" s="15">
        <v>0</v>
      </c>
      <c r="F5" s="15">
        <v>8.5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4</v>
      </c>
      <c r="M5" s="15">
        <v>0.5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6">
        <v>0</v>
      </c>
      <c r="W5" s="14">
        <v>8.1999999999999993</v>
      </c>
      <c r="X5" s="15">
        <v>200</v>
      </c>
      <c r="Y5" s="15">
        <v>270</v>
      </c>
      <c r="Z5" s="15">
        <v>0</v>
      </c>
      <c r="AA5" s="15">
        <v>390</v>
      </c>
      <c r="AB5" s="15">
        <v>9</v>
      </c>
      <c r="AC5" s="15">
        <v>14.1</v>
      </c>
      <c r="AD5" s="16">
        <v>0</v>
      </c>
    </row>
    <row r="6" spans="1:30" ht="15" customHeight="1" x14ac:dyDescent="0.25">
      <c r="A6" s="13">
        <v>5</v>
      </c>
      <c r="B6" s="14">
        <v>61.5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10</v>
      </c>
      <c r="R6" s="15">
        <v>0</v>
      </c>
      <c r="S6" s="15">
        <v>0</v>
      </c>
      <c r="T6" s="15">
        <v>0</v>
      </c>
      <c r="U6" s="15">
        <v>0</v>
      </c>
      <c r="V6" s="16">
        <v>0</v>
      </c>
      <c r="W6" s="14">
        <v>8.4</v>
      </c>
      <c r="X6" s="15">
        <v>200</v>
      </c>
      <c r="Y6" s="15">
        <v>190</v>
      </c>
      <c r="Z6" s="15">
        <v>0</v>
      </c>
      <c r="AA6" s="15">
        <v>600</v>
      </c>
      <c r="AB6" s="15">
        <v>7</v>
      </c>
      <c r="AC6" s="15">
        <v>13.8</v>
      </c>
      <c r="AD6" s="16">
        <v>0</v>
      </c>
    </row>
    <row r="7" spans="1:30" ht="15" customHeight="1" x14ac:dyDescent="0.25">
      <c r="A7" s="13">
        <v>6</v>
      </c>
      <c r="B7" s="14">
        <v>61</v>
      </c>
      <c r="C7" s="15">
        <v>26</v>
      </c>
      <c r="D7" s="15">
        <v>0.5</v>
      </c>
      <c r="E7" s="15">
        <v>0</v>
      </c>
      <c r="F7" s="15">
        <v>11</v>
      </c>
      <c r="G7" s="15">
        <v>0</v>
      </c>
      <c r="H7" s="15">
        <v>0.5</v>
      </c>
      <c r="I7" s="15">
        <v>0</v>
      </c>
      <c r="J7" s="15">
        <v>0</v>
      </c>
      <c r="K7" s="15">
        <v>0</v>
      </c>
      <c r="L7" s="15">
        <v>0</v>
      </c>
      <c r="M7" s="15">
        <v>1.5</v>
      </c>
      <c r="N7" s="15">
        <v>0</v>
      </c>
      <c r="O7" s="15">
        <v>0.5</v>
      </c>
      <c r="P7" s="15">
        <v>0.5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6">
        <v>0</v>
      </c>
      <c r="W7" s="14">
        <v>8.1999999999999993</v>
      </c>
      <c r="X7" s="15">
        <v>170</v>
      </c>
      <c r="Y7" s="15">
        <v>340</v>
      </c>
      <c r="Z7" s="15">
        <v>580</v>
      </c>
      <c r="AA7" s="15">
        <v>340</v>
      </c>
      <c r="AB7" s="15">
        <v>15</v>
      </c>
      <c r="AC7" s="15">
        <v>0</v>
      </c>
      <c r="AD7" s="16">
        <v>14</v>
      </c>
    </row>
    <row r="8" spans="1:30" ht="15" customHeight="1" x14ac:dyDescent="0.25">
      <c r="A8" s="13">
        <v>7</v>
      </c>
      <c r="B8" s="14">
        <v>59.3</v>
      </c>
      <c r="C8" s="15">
        <v>24</v>
      </c>
      <c r="D8" s="15">
        <v>0</v>
      </c>
      <c r="E8" s="15">
        <v>0</v>
      </c>
      <c r="F8" s="15">
        <v>10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6">
        <v>0</v>
      </c>
      <c r="W8" s="14">
        <v>8.3000000000000007</v>
      </c>
      <c r="X8" s="15">
        <v>0</v>
      </c>
      <c r="Y8" s="15">
        <v>195</v>
      </c>
      <c r="Z8" s="15">
        <v>650</v>
      </c>
      <c r="AA8" s="15">
        <v>360</v>
      </c>
      <c r="AB8" s="15">
        <v>23</v>
      </c>
      <c r="AC8" s="15">
        <v>14.4</v>
      </c>
      <c r="AD8" s="16">
        <v>0</v>
      </c>
    </row>
    <row r="9" spans="1:30" ht="15" customHeight="1" x14ac:dyDescent="0.25">
      <c r="A9" s="13">
        <v>8</v>
      </c>
      <c r="B9" s="14">
        <v>76</v>
      </c>
      <c r="C9" s="15">
        <v>13</v>
      </c>
      <c r="D9" s="15">
        <v>0</v>
      </c>
      <c r="E9" s="15">
        <v>0</v>
      </c>
      <c r="F9" s="15">
        <v>6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0.9</v>
      </c>
      <c r="S9" s="15">
        <v>0</v>
      </c>
      <c r="T9" s="15">
        <v>0</v>
      </c>
      <c r="U9" s="15">
        <v>0</v>
      </c>
      <c r="V9" s="16">
        <v>0</v>
      </c>
      <c r="W9" s="14">
        <v>0</v>
      </c>
      <c r="X9" s="15">
        <v>0</v>
      </c>
      <c r="Y9" s="15">
        <v>200</v>
      </c>
      <c r="Z9" s="15">
        <v>0</v>
      </c>
      <c r="AA9" s="15">
        <v>0</v>
      </c>
      <c r="AB9" s="15">
        <v>0</v>
      </c>
      <c r="AC9" s="15">
        <v>0</v>
      </c>
      <c r="AD9" s="16">
        <v>0</v>
      </c>
    </row>
    <row r="10" spans="1:30" ht="15" customHeight="1" x14ac:dyDescent="0.25">
      <c r="A10" s="13">
        <v>9</v>
      </c>
      <c r="B10" s="14">
        <v>78</v>
      </c>
      <c r="C10" s="15">
        <v>13</v>
      </c>
      <c r="D10" s="15">
        <v>0</v>
      </c>
      <c r="E10" s="15">
        <v>0</v>
      </c>
      <c r="F10" s="15">
        <v>4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5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6">
        <v>0</v>
      </c>
      <c r="W10" s="14">
        <v>8.1999999999999993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6">
        <v>0</v>
      </c>
    </row>
    <row r="11" spans="1:30" ht="15" customHeight="1" x14ac:dyDescent="0.25">
      <c r="A11" s="13">
        <v>10</v>
      </c>
      <c r="B11" s="14">
        <v>75</v>
      </c>
      <c r="C11" s="15">
        <v>13</v>
      </c>
      <c r="D11" s="15">
        <v>0</v>
      </c>
      <c r="E11" s="15">
        <v>0</v>
      </c>
      <c r="F11" s="15">
        <v>5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6">
        <v>0</v>
      </c>
      <c r="W11" s="14">
        <v>8.1999999999999993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13.75</v>
      </c>
      <c r="AD11" s="16">
        <v>0</v>
      </c>
    </row>
    <row r="12" spans="1:30" ht="15" customHeight="1" x14ac:dyDescent="0.25">
      <c r="A12" s="13">
        <v>11</v>
      </c>
      <c r="B12" s="14">
        <v>78</v>
      </c>
      <c r="C12" s="15">
        <v>12</v>
      </c>
      <c r="D12" s="15">
        <v>0</v>
      </c>
      <c r="E12" s="15">
        <v>0</v>
      </c>
      <c r="F12" s="15">
        <v>4.3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1.7</v>
      </c>
      <c r="S12" s="15">
        <v>0</v>
      </c>
      <c r="T12" s="15">
        <v>0</v>
      </c>
      <c r="U12" s="15">
        <v>0</v>
      </c>
      <c r="V12" s="16">
        <v>0</v>
      </c>
      <c r="W12" s="14">
        <v>7.8</v>
      </c>
      <c r="X12" s="15">
        <v>0</v>
      </c>
      <c r="Y12" s="15">
        <v>300</v>
      </c>
      <c r="Z12" s="15">
        <v>0</v>
      </c>
      <c r="AA12" s="15">
        <v>0</v>
      </c>
      <c r="AB12" s="15">
        <v>6.6</v>
      </c>
      <c r="AC12" s="15">
        <v>0</v>
      </c>
      <c r="AD12" s="16">
        <v>0</v>
      </c>
    </row>
    <row r="13" spans="1:30" ht="15" customHeight="1" x14ac:dyDescent="0.25">
      <c r="A13" s="13">
        <v>12</v>
      </c>
      <c r="B13" s="14">
        <v>63.2</v>
      </c>
      <c r="C13" s="15">
        <v>23.5</v>
      </c>
      <c r="D13" s="15">
        <v>0</v>
      </c>
      <c r="E13" s="15">
        <v>0</v>
      </c>
      <c r="F13" s="15">
        <v>9.8000000000000007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1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6">
        <v>0</v>
      </c>
      <c r="W13" s="14">
        <v>8.1999999999999993</v>
      </c>
      <c r="X13" s="15">
        <v>0</v>
      </c>
      <c r="Y13" s="15">
        <v>205</v>
      </c>
      <c r="Z13" s="15">
        <v>0</v>
      </c>
      <c r="AA13" s="15">
        <v>500</v>
      </c>
      <c r="AB13" s="15">
        <v>9</v>
      </c>
      <c r="AC13" s="15">
        <v>14.1</v>
      </c>
      <c r="AD13" s="16">
        <v>0</v>
      </c>
    </row>
    <row r="14" spans="1:30" ht="15" customHeight="1" x14ac:dyDescent="0.25">
      <c r="A14" s="13">
        <v>13</v>
      </c>
      <c r="B14" s="14">
        <v>63</v>
      </c>
      <c r="C14" s="15">
        <v>24</v>
      </c>
      <c r="D14" s="15">
        <v>0</v>
      </c>
      <c r="E14" s="15">
        <v>0</v>
      </c>
      <c r="F14" s="15">
        <v>10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1.5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6">
        <v>0</v>
      </c>
      <c r="W14" s="14">
        <v>8.1999999999999993</v>
      </c>
      <c r="X14" s="15">
        <v>0</v>
      </c>
      <c r="Y14" s="15">
        <v>320</v>
      </c>
      <c r="Z14" s="15">
        <v>0</v>
      </c>
      <c r="AA14" s="15">
        <v>300</v>
      </c>
      <c r="AB14" s="15">
        <v>15</v>
      </c>
      <c r="AC14" s="15">
        <v>13.9</v>
      </c>
      <c r="AD14" s="16">
        <v>0</v>
      </c>
    </row>
    <row r="15" spans="1:30" ht="15" customHeight="1" x14ac:dyDescent="0.25">
      <c r="A15" s="13">
        <v>14</v>
      </c>
      <c r="B15" s="14">
        <v>63</v>
      </c>
      <c r="C15" s="15">
        <v>24</v>
      </c>
      <c r="D15" s="15">
        <v>0</v>
      </c>
      <c r="E15" s="15">
        <v>0</v>
      </c>
      <c r="F15" s="15">
        <v>10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6">
        <v>0</v>
      </c>
      <c r="W15" s="14">
        <v>8.1999999999999993</v>
      </c>
      <c r="X15" s="15">
        <v>0</v>
      </c>
      <c r="Y15" s="15">
        <v>200</v>
      </c>
      <c r="Z15" s="15">
        <v>0</v>
      </c>
      <c r="AA15" s="15">
        <v>450</v>
      </c>
      <c r="AB15" s="15">
        <v>4</v>
      </c>
      <c r="AC15" s="15">
        <v>13.8</v>
      </c>
      <c r="AD15" s="16">
        <v>0</v>
      </c>
    </row>
    <row r="16" spans="1:30" ht="15" customHeight="1" x14ac:dyDescent="0.25">
      <c r="A16" s="13">
        <v>15</v>
      </c>
      <c r="B16" s="14">
        <v>63.2</v>
      </c>
      <c r="C16" s="15">
        <v>23</v>
      </c>
      <c r="D16" s="15">
        <v>0</v>
      </c>
      <c r="E16" s="15">
        <v>0</v>
      </c>
      <c r="F16" s="15">
        <v>3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1</v>
      </c>
      <c r="N16" s="15">
        <v>0.5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6">
        <v>0</v>
      </c>
      <c r="W16" s="14">
        <v>8.1</v>
      </c>
      <c r="X16" s="15">
        <v>212</v>
      </c>
      <c r="Y16" s="15">
        <v>300</v>
      </c>
      <c r="Z16" s="15">
        <v>0</v>
      </c>
      <c r="AA16" s="15">
        <v>355</v>
      </c>
      <c r="AB16" s="15">
        <v>5.8</v>
      </c>
      <c r="AC16" s="15">
        <v>0</v>
      </c>
      <c r="AD16" s="16">
        <v>0</v>
      </c>
    </row>
    <row r="17" spans="1:30" ht="15" customHeight="1" x14ac:dyDescent="0.25">
      <c r="A17" s="13">
        <v>16</v>
      </c>
      <c r="B17" s="14">
        <v>65.900000000000006</v>
      </c>
      <c r="C17" s="15">
        <v>26</v>
      </c>
      <c r="D17" s="15">
        <v>0</v>
      </c>
      <c r="E17" s="15">
        <v>0</v>
      </c>
      <c r="F17" s="15">
        <v>5</v>
      </c>
      <c r="G17" s="15">
        <v>0</v>
      </c>
      <c r="H17" s="15">
        <v>0</v>
      </c>
      <c r="I17" s="15">
        <v>1</v>
      </c>
      <c r="J17" s="15">
        <v>0</v>
      </c>
      <c r="K17" s="15">
        <v>0</v>
      </c>
      <c r="L17" s="15">
        <v>0</v>
      </c>
      <c r="M17" s="15">
        <v>1.5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6">
        <v>0</v>
      </c>
      <c r="W17" s="14">
        <v>8.1999999999999993</v>
      </c>
      <c r="X17" s="15">
        <v>165</v>
      </c>
      <c r="Y17" s="15">
        <v>190</v>
      </c>
      <c r="Z17" s="15">
        <v>0</v>
      </c>
      <c r="AA17" s="15">
        <v>310</v>
      </c>
      <c r="AB17" s="15">
        <v>8</v>
      </c>
      <c r="AC17" s="15">
        <v>0</v>
      </c>
      <c r="AD17" s="16">
        <v>0</v>
      </c>
    </row>
    <row r="18" spans="1:30" ht="15" customHeight="1" x14ac:dyDescent="0.25">
      <c r="A18" s="13">
        <v>17</v>
      </c>
      <c r="B18" s="14">
        <v>53</v>
      </c>
      <c r="C18" s="15">
        <v>5</v>
      </c>
      <c r="D18" s="15">
        <v>15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5</v>
      </c>
      <c r="R18" s="15">
        <v>0</v>
      </c>
      <c r="S18" s="15">
        <v>0</v>
      </c>
      <c r="T18" s="15">
        <v>0</v>
      </c>
      <c r="U18" s="15">
        <v>0</v>
      </c>
      <c r="V18" s="16">
        <v>0</v>
      </c>
      <c r="W18" s="14">
        <v>0</v>
      </c>
      <c r="X18" s="15">
        <v>0</v>
      </c>
      <c r="Y18" s="15">
        <v>280</v>
      </c>
      <c r="Z18" s="15">
        <v>0</v>
      </c>
      <c r="AA18" s="15">
        <v>585</v>
      </c>
      <c r="AB18" s="15">
        <v>1.5</v>
      </c>
      <c r="AC18" s="15">
        <v>0</v>
      </c>
      <c r="AD18" s="16">
        <v>0</v>
      </c>
    </row>
    <row r="19" spans="1:30" ht="15" customHeight="1" x14ac:dyDescent="0.25">
      <c r="A19" s="13">
        <v>18</v>
      </c>
      <c r="B19" s="14">
        <v>71</v>
      </c>
      <c r="C19" s="15">
        <v>19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6">
        <v>0</v>
      </c>
      <c r="W19" s="14">
        <v>0</v>
      </c>
      <c r="X19" s="15">
        <v>0</v>
      </c>
      <c r="Y19" s="15">
        <v>220</v>
      </c>
      <c r="Z19" s="15">
        <v>0</v>
      </c>
      <c r="AA19" s="15">
        <v>0</v>
      </c>
      <c r="AB19" s="15">
        <v>0</v>
      </c>
      <c r="AC19" s="15">
        <v>0</v>
      </c>
      <c r="AD19" s="16">
        <v>0</v>
      </c>
    </row>
    <row r="20" spans="1:30" ht="15" customHeight="1" x14ac:dyDescent="0.25">
      <c r="A20" s="13">
        <v>19</v>
      </c>
      <c r="B20" s="14">
        <v>80</v>
      </c>
      <c r="C20" s="15">
        <v>12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6">
        <v>0</v>
      </c>
      <c r="W20" s="14">
        <v>0</v>
      </c>
      <c r="X20" s="15">
        <v>0</v>
      </c>
      <c r="Y20" s="15">
        <v>105</v>
      </c>
      <c r="Z20" s="15">
        <v>0</v>
      </c>
      <c r="AA20" s="15">
        <v>0</v>
      </c>
      <c r="AB20" s="15">
        <v>0</v>
      </c>
      <c r="AC20" s="15">
        <v>0</v>
      </c>
      <c r="AD20" s="16">
        <v>0</v>
      </c>
    </row>
    <row r="21" spans="1:30" ht="15" customHeight="1" x14ac:dyDescent="0.25">
      <c r="A21" s="13">
        <v>20</v>
      </c>
      <c r="B21" s="14">
        <v>61.4</v>
      </c>
      <c r="C21" s="15">
        <v>22.9</v>
      </c>
      <c r="D21" s="15">
        <v>0</v>
      </c>
      <c r="E21" s="15">
        <v>0</v>
      </c>
      <c r="F21" s="15">
        <v>8.8000000000000007</v>
      </c>
      <c r="G21" s="15">
        <v>0.1</v>
      </c>
      <c r="H21" s="15">
        <v>0</v>
      </c>
      <c r="I21" s="15">
        <v>0</v>
      </c>
      <c r="J21" s="15">
        <v>0</v>
      </c>
      <c r="K21" s="15">
        <v>0</v>
      </c>
      <c r="L21" s="15">
        <v>3.9</v>
      </c>
      <c r="M21" s="15">
        <v>0</v>
      </c>
      <c r="N21" s="15">
        <v>0.4</v>
      </c>
      <c r="O21" s="15">
        <v>2.5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6">
        <v>0</v>
      </c>
      <c r="W21" s="14">
        <v>8.1999999999999993</v>
      </c>
      <c r="X21" s="15">
        <v>200</v>
      </c>
      <c r="Y21" s="15">
        <v>195</v>
      </c>
      <c r="Z21" s="15">
        <v>650</v>
      </c>
      <c r="AA21" s="15">
        <v>370</v>
      </c>
      <c r="AB21" s="15">
        <v>30</v>
      </c>
      <c r="AC21" s="15">
        <v>14</v>
      </c>
      <c r="AD21" s="16">
        <v>13.8</v>
      </c>
    </row>
    <row r="22" spans="1:30" ht="15" customHeight="1" x14ac:dyDescent="0.25">
      <c r="A22" s="13">
        <v>21</v>
      </c>
      <c r="B22" s="14">
        <v>63.4</v>
      </c>
      <c r="C22" s="15">
        <v>21.6</v>
      </c>
      <c r="D22" s="15">
        <v>0</v>
      </c>
      <c r="E22" s="15">
        <v>0</v>
      </c>
      <c r="F22" s="15">
        <v>8.4</v>
      </c>
      <c r="G22" s="15">
        <v>0</v>
      </c>
      <c r="H22" s="15">
        <v>0.2</v>
      </c>
      <c r="I22" s="15">
        <v>0</v>
      </c>
      <c r="J22" s="15">
        <v>0</v>
      </c>
      <c r="K22" s="15">
        <v>0</v>
      </c>
      <c r="L22" s="15">
        <v>4.2</v>
      </c>
      <c r="M22" s="15">
        <v>0</v>
      </c>
      <c r="N22" s="15">
        <v>0</v>
      </c>
      <c r="O22" s="15">
        <v>2.2000000000000002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6">
        <v>0</v>
      </c>
      <c r="W22" s="14">
        <v>8.1999999999999993</v>
      </c>
      <c r="X22" s="15">
        <v>200</v>
      </c>
      <c r="Y22" s="15">
        <v>190</v>
      </c>
      <c r="Z22" s="15">
        <v>0</v>
      </c>
      <c r="AA22" s="15">
        <v>350</v>
      </c>
      <c r="AB22" s="15">
        <v>23</v>
      </c>
      <c r="AC22" s="15">
        <v>13.9</v>
      </c>
      <c r="AD22" s="16">
        <v>13.7</v>
      </c>
    </row>
    <row r="23" spans="1:30" ht="15" customHeight="1" x14ac:dyDescent="0.25">
      <c r="A23" s="13">
        <v>22</v>
      </c>
      <c r="B23" s="14">
        <v>61</v>
      </c>
      <c r="C23" s="15">
        <v>21.5</v>
      </c>
      <c r="D23" s="15">
        <v>2</v>
      </c>
      <c r="E23" s="15">
        <v>0</v>
      </c>
      <c r="F23" s="15">
        <v>9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4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6">
        <v>0</v>
      </c>
      <c r="W23" s="14">
        <v>8.4</v>
      </c>
      <c r="X23" s="15">
        <v>200</v>
      </c>
      <c r="Y23" s="15">
        <v>185</v>
      </c>
      <c r="Z23" s="15">
        <v>520</v>
      </c>
      <c r="AA23" s="15">
        <v>310</v>
      </c>
      <c r="AB23" s="15">
        <v>35</v>
      </c>
      <c r="AC23" s="15">
        <v>13.9</v>
      </c>
      <c r="AD23" s="16">
        <v>0</v>
      </c>
    </row>
    <row r="24" spans="1:30" ht="15" customHeight="1" x14ac:dyDescent="0.25">
      <c r="A24" s="13">
        <v>23</v>
      </c>
      <c r="B24" s="14">
        <v>63</v>
      </c>
      <c r="C24" s="15">
        <v>24</v>
      </c>
      <c r="D24" s="15">
        <v>0</v>
      </c>
      <c r="E24" s="15">
        <v>0</v>
      </c>
      <c r="F24" s="15">
        <v>9.5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6">
        <v>0</v>
      </c>
      <c r="W24" s="14">
        <v>8.25</v>
      </c>
      <c r="X24" s="15">
        <v>0</v>
      </c>
      <c r="Y24" s="15">
        <v>235</v>
      </c>
      <c r="Z24" s="15">
        <v>400</v>
      </c>
      <c r="AA24" s="15">
        <v>0</v>
      </c>
      <c r="AB24" s="15">
        <v>20</v>
      </c>
      <c r="AC24" s="15">
        <v>13.6</v>
      </c>
      <c r="AD24" s="16">
        <v>0</v>
      </c>
    </row>
    <row r="25" spans="1:30" ht="15" customHeight="1" x14ac:dyDescent="0.25">
      <c r="A25" s="13">
        <v>24</v>
      </c>
      <c r="B25" s="14">
        <v>59.8</v>
      </c>
      <c r="C25" s="15">
        <v>23.5</v>
      </c>
      <c r="D25" s="15">
        <f>(4-0.1)/2+0.1</f>
        <v>2.0499999999999998</v>
      </c>
      <c r="E25" s="15">
        <v>0</v>
      </c>
      <c r="F25" s="15">
        <v>10</v>
      </c>
      <c r="G25" s="15">
        <v>0</v>
      </c>
      <c r="H25" s="15">
        <v>0</v>
      </c>
      <c r="I25" s="15">
        <f>(0.06-0.005)/2+0.005</f>
        <v>3.2500000000000001E-2</v>
      </c>
      <c r="J25" s="15">
        <v>0.22500000000000001</v>
      </c>
      <c r="K25" s="15">
        <v>0</v>
      </c>
      <c r="L25" s="15">
        <v>0</v>
      </c>
      <c r="M25" s="15">
        <v>2</v>
      </c>
      <c r="N25" s="15">
        <f>(0.3-0.01)/2+0.01</f>
        <v>0.155</v>
      </c>
      <c r="O25" s="15">
        <v>1.55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6">
        <v>0</v>
      </c>
      <c r="W25" s="14">
        <v>0</v>
      </c>
      <c r="X25" s="15">
        <v>0</v>
      </c>
      <c r="Y25" s="15">
        <v>178.5</v>
      </c>
      <c r="Z25" s="15">
        <v>521</v>
      </c>
      <c r="AA25" s="15">
        <v>357.5</v>
      </c>
      <c r="AB25" s="15">
        <v>8.5</v>
      </c>
      <c r="AC25" s="15">
        <v>14.2</v>
      </c>
      <c r="AD25" s="16">
        <v>0</v>
      </c>
    </row>
    <row r="26" spans="1:30" ht="15" customHeight="1" x14ac:dyDescent="0.25">
      <c r="A26" s="13">
        <v>25</v>
      </c>
      <c r="B26" s="14">
        <v>63.6</v>
      </c>
      <c r="C26" s="15">
        <v>20</v>
      </c>
      <c r="D26" s="15">
        <v>0</v>
      </c>
      <c r="E26" s="15">
        <v>0</v>
      </c>
      <c r="F26" s="15">
        <v>10.5</v>
      </c>
      <c r="G26" s="15">
        <v>0</v>
      </c>
      <c r="H26" s="15">
        <v>0</v>
      </c>
      <c r="I26" s="15">
        <v>0.03</v>
      </c>
      <c r="J26" s="15">
        <v>0</v>
      </c>
      <c r="K26" s="15">
        <v>0</v>
      </c>
      <c r="L26" s="15">
        <v>0</v>
      </c>
      <c r="M26" s="15">
        <v>1.5</v>
      </c>
      <c r="N26" s="15">
        <v>0.5</v>
      </c>
      <c r="O26" s="15">
        <v>3</v>
      </c>
      <c r="P26" s="15">
        <v>0.85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6">
        <v>0</v>
      </c>
      <c r="W26" s="14">
        <v>0</v>
      </c>
      <c r="X26" s="15">
        <v>0</v>
      </c>
      <c r="Y26" s="15">
        <v>0</v>
      </c>
      <c r="Z26" s="15">
        <v>0</v>
      </c>
      <c r="AA26" s="15">
        <v>319</v>
      </c>
      <c r="AB26" s="15">
        <v>20.65</v>
      </c>
      <c r="AC26" s="15">
        <v>14.335000000000001</v>
      </c>
      <c r="AD26" s="16">
        <v>0</v>
      </c>
    </row>
    <row r="27" spans="1:30" ht="15" customHeight="1" x14ac:dyDescent="0.25">
      <c r="A27" s="13">
        <v>26</v>
      </c>
      <c r="B27" s="14">
        <v>66.5</v>
      </c>
      <c r="C27" s="15">
        <v>22</v>
      </c>
      <c r="D27" s="15">
        <v>0</v>
      </c>
      <c r="E27" s="15">
        <v>0</v>
      </c>
      <c r="F27" s="15">
        <v>9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1.6</v>
      </c>
      <c r="N27" s="15">
        <v>0</v>
      </c>
      <c r="O27" s="15">
        <v>0.5</v>
      </c>
      <c r="P27" s="15">
        <v>0.4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6">
        <v>0</v>
      </c>
      <c r="W27" s="14">
        <v>8.1999999999999993</v>
      </c>
      <c r="X27" s="15">
        <v>200</v>
      </c>
      <c r="Y27" s="15">
        <v>200</v>
      </c>
      <c r="Z27" s="15">
        <v>0</v>
      </c>
      <c r="AA27" s="15">
        <v>350</v>
      </c>
      <c r="AB27" s="15">
        <v>14</v>
      </c>
      <c r="AC27" s="15">
        <v>14.2</v>
      </c>
      <c r="AD27" s="16">
        <v>14</v>
      </c>
    </row>
    <row r="28" spans="1:30" ht="15" customHeight="1" x14ac:dyDescent="0.25">
      <c r="A28" s="13">
        <v>27</v>
      </c>
      <c r="B28" s="14">
        <v>63.1</v>
      </c>
      <c r="C28" s="15">
        <v>24</v>
      </c>
      <c r="D28" s="15">
        <v>0</v>
      </c>
      <c r="E28" s="15">
        <v>0</v>
      </c>
      <c r="F28" s="15">
        <v>10</v>
      </c>
      <c r="G28" s="15">
        <v>0</v>
      </c>
      <c r="H28" s="15">
        <v>0.5</v>
      </c>
      <c r="I28" s="15">
        <v>0.05</v>
      </c>
      <c r="J28" s="15">
        <v>0</v>
      </c>
      <c r="K28" s="15">
        <v>0</v>
      </c>
      <c r="L28" s="15">
        <v>0</v>
      </c>
      <c r="M28" s="15">
        <v>2.0499999999999998</v>
      </c>
      <c r="N28" s="15">
        <v>0.3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8.0000000000000002E-3</v>
      </c>
      <c r="U28" s="15">
        <v>0</v>
      </c>
      <c r="V28" s="16">
        <v>0</v>
      </c>
      <c r="W28" s="14">
        <v>0</v>
      </c>
      <c r="X28" s="15">
        <v>0</v>
      </c>
      <c r="Y28" s="15">
        <v>232.5</v>
      </c>
      <c r="Z28" s="15">
        <v>555</v>
      </c>
      <c r="AA28" s="15">
        <v>310</v>
      </c>
      <c r="AB28" s="15">
        <v>15</v>
      </c>
      <c r="AC28" s="15">
        <v>13.6</v>
      </c>
      <c r="AD28" s="16">
        <v>13.2</v>
      </c>
    </row>
    <row r="29" spans="1:30" ht="15" customHeight="1" x14ac:dyDescent="0.25">
      <c r="A29" s="13">
        <v>28</v>
      </c>
      <c r="B29" s="14">
        <v>59</v>
      </c>
      <c r="C29" s="15">
        <v>18.5</v>
      </c>
      <c r="D29" s="15">
        <v>13</v>
      </c>
      <c r="E29" s="15">
        <v>0</v>
      </c>
      <c r="F29" s="15">
        <v>7.25</v>
      </c>
      <c r="G29" s="15">
        <v>0</v>
      </c>
      <c r="H29" s="15">
        <v>0.3</v>
      </c>
      <c r="I29" s="15">
        <v>7.0000000000000007E-2</v>
      </c>
      <c r="J29" s="15">
        <v>0</v>
      </c>
      <c r="K29" s="15">
        <v>0</v>
      </c>
      <c r="L29" s="15">
        <f>(1.5-0.75)/2+0.75</f>
        <v>1.125</v>
      </c>
      <c r="M29" s="15">
        <v>0.65</v>
      </c>
      <c r="N29" s="15">
        <v>0.1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5.0000000000000001E-3</v>
      </c>
      <c r="U29" s="15">
        <v>0</v>
      </c>
      <c r="V29" s="16">
        <v>0</v>
      </c>
      <c r="W29" s="14">
        <v>0</v>
      </c>
      <c r="X29" s="15">
        <v>0</v>
      </c>
      <c r="Y29" s="15">
        <v>282.5</v>
      </c>
      <c r="Z29" s="15">
        <v>567.5</v>
      </c>
      <c r="AA29" s="15">
        <v>455</v>
      </c>
      <c r="AB29" s="15">
        <v>12</v>
      </c>
      <c r="AC29" s="15">
        <v>13.9</v>
      </c>
      <c r="AD29" s="16">
        <v>13.4</v>
      </c>
    </row>
    <row r="30" spans="1:30" ht="15" customHeight="1" x14ac:dyDescent="0.25">
      <c r="A30" s="13">
        <v>29</v>
      </c>
      <c r="B30" s="17">
        <v>59.2</v>
      </c>
      <c r="C30" s="18">
        <v>11</v>
      </c>
      <c r="D30" s="15">
        <v>0</v>
      </c>
      <c r="E30" s="15">
        <v>0</v>
      </c>
      <c r="F30" s="15">
        <v>26</v>
      </c>
      <c r="G30" s="15">
        <v>1.85</v>
      </c>
      <c r="H30" s="15">
        <v>0.8</v>
      </c>
      <c r="I30" s="15">
        <v>7.0000000000000007E-2</v>
      </c>
      <c r="J30" s="15">
        <v>0</v>
      </c>
      <c r="K30" s="15">
        <v>0</v>
      </c>
      <c r="L30" s="15">
        <v>0</v>
      </c>
      <c r="M30" s="15">
        <v>0.6</v>
      </c>
      <c r="N30" s="15">
        <v>0.4</v>
      </c>
      <c r="O30" s="15">
        <v>0.04</v>
      </c>
      <c r="P30" s="15">
        <v>0</v>
      </c>
      <c r="Q30" s="15">
        <v>0</v>
      </c>
      <c r="R30" s="15">
        <v>0</v>
      </c>
      <c r="S30" s="15">
        <v>0.01</v>
      </c>
      <c r="T30" s="15">
        <v>7.0000000000000007E-2</v>
      </c>
      <c r="U30" s="15">
        <v>0</v>
      </c>
      <c r="V30" s="16">
        <v>0</v>
      </c>
      <c r="W30" s="14">
        <v>8.1</v>
      </c>
      <c r="X30" s="15">
        <v>207.5</v>
      </c>
      <c r="Y30" s="15">
        <v>354</v>
      </c>
      <c r="Z30" s="15">
        <f>(827-662)/2+662</f>
        <v>744.5</v>
      </c>
      <c r="AA30" s="15">
        <v>565</v>
      </c>
      <c r="AB30" s="15">
        <f>(8-4.1)/2+4.1</f>
        <v>6.05</v>
      </c>
      <c r="AC30" s="15">
        <v>7.9</v>
      </c>
      <c r="AD30" s="16">
        <v>0</v>
      </c>
    </row>
    <row r="31" spans="1:30" ht="15" customHeight="1" x14ac:dyDescent="0.25">
      <c r="A31" s="13">
        <v>30</v>
      </c>
      <c r="B31" s="14">
        <v>58.6</v>
      </c>
      <c r="C31" s="15">
        <v>22.5</v>
      </c>
      <c r="D31" s="15">
        <v>0</v>
      </c>
      <c r="E31" s="15">
        <v>0</v>
      </c>
      <c r="F31" s="15">
        <v>3</v>
      </c>
      <c r="G31" s="15">
        <v>0.55000000000000004</v>
      </c>
      <c r="H31" s="15">
        <f>(3-0.3)/2+0.3</f>
        <v>1.6500000000000001</v>
      </c>
      <c r="I31" s="15">
        <v>0.25</v>
      </c>
      <c r="J31" s="15">
        <v>0.3</v>
      </c>
      <c r="K31" s="15">
        <v>0</v>
      </c>
      <c r="L31" s="15">
        <v>0</v>
      </c>
      <c r="M31" s="15">
        <v>1.35</v>
      </c>
      <c r="N31" s="15">
        <v>0</v>
      </c>
      <c r="O31" s="15">
        <v>10.5</v>
      </c>
      <c r="P31" s="15">
        <v>0</v>
      </c>
      <c r="Q31" s="15">
        <v>1.05</v>
      </c>
      <c r="R31" s="15">
        <v>0</v>
      </c>
      <c r="S31" s="15">
        <f>(0.02-0.003)/2-0.003</f>
        <v>5.5000000000000005E-3</v>
      </c>
      <c r="T31" s="15">
        <v>0</v>
      </c>
      <c r="U31" s="15">
        <v>0</v>
      </c>
      <c r="V31" s="16">
        <v>0</v>
      </c>
      <c r="W31" s="14">
        <v>0</v>
      </c>
      <c r="X31" s="15">
        <v>0</v>
      </c>
      <c r="Y31" s="15">
        <v>185</v>
      </c>
      <c r="Z31" s="15">
        <v>695</v>
      </c>
      <c r="AA31" s="15">
        <v>0</v>
      </c>
      <c r="AB31" s="15">
        <v>9</v>
      </c>
      <c r="AC31" s="15">
        <v>0</v>
      </c>
      <c r="AD31" s="16">
        <v>0</v>
      </c>
    </row>
    <row r="32" spans="1:30" ht="15" customHeight="1" x14ac:dyDescent="0.25">
      <c r="A32" s="13">
        <v>31</v>
      </c>
      <c r="B32" s="14">
        <v>61.8</v>
      </c>
      <c r="C32" s="15">
        <v>25.5</v>
      </c>
      <c r="D32" s="15">
        <v>0</v>
      </c>
      <c r="E32" s="15">
        <v>0</v>
      </c>
      <c r="F32" s="15">
        <v>9</v>
      </c>
      <c r="G32" s="15">
        <v>0</v>
      </c>
      <c r="H32" s="15">
        <v>0</v>
      </c>
      <c r="I32" s="15">
        <f>(0.1-0.001)/2+0.001</f>
        <v>5.0500000000000003E-2</v>
      </c>
      <c r="J32" s="15">
        <v>0</v>
      </c>
      <c r="K32" s="15">
        <v>0</v>
      </c>
      <c r="L32" s="15">
        <v>0</v>
      </c>
      <c r="M32" s="15">
        <v>3.55</v>
      </c>
      <c r="N32" s="15">
        <v>0</v>
      </c>
      <c r="O32" s="15">
        <v>0</v>
      </c>
      <c r="P32" s="15">
        <f>(0.1-0.001)/2+0.001</f>
        <v>5.0500000000000003E-2</v>
      </c>
      <c r="Q32" s="15">
        <v>0</v>
      </c>
      <c r="R32" s="15">
        <v>0</v>
      </c>
      <c r="S32" s="15">
        <v>0</v>
      </c>
      <c r="T32" s="15">
        <v>0</v>
      </c>
      <c r="U32" s="15">
        <f>(0.1-0.001)/2+0.001</f>
        <v>5.0500000000000003E-2</v>
      </c>
      <c r="V32" s="16">
        <v>0</v>
      </c>
      <c r="W32" s="14">
        <v>0</v>
      </c>
      <c r="X32" s="15">
        <v>0</v>
      </c>
      <c r="Y32" s="15">
        <f>(215-178)/2+178</f>
        <v>196.5</v>
      </c>
      <c r="Z32" s="15">
        <f>(553-466)/2+466</f>
        <v>509.5</v>
      </c>
      <c r="AA32" s="15">
        <f>(353-221)/2+221</f>
        <v>287</v>
      </c>
      <c r="AB32" s="15">
        <v>11.5</v>
      </c>
      <c r="AC32" s="15">
        <v>14.15</v>
      </c>
      <c r="AD32" s="16">
        <v>0</v>
      </c>
    </row>
    <row r="33" spans="1:30" ht="15" customHeight="1" x14ac:dyDescent="0.25">
      <c r="A33" s="13">
        <v>32</v>
      </c>
      <c r="B33" s="14">
        <v>78.599999999999994</v>
      </c>
      <c r="C33" s="15">
        <v>0</v>
      </c>
      <c r="D33" s="15">
        <v>0</v>
      </c>
      <c r="E33" s="15">
        <v>0</v>
      </c>
      <c r="F33" s="15">
        <v>1</v>
      </c>
      <c r="G33" s="15">
        <v>0</v>
      </c>
      <c r="H33" s="15">
        <v>5</v>
      </c>
      <c r="I33" s="15">
        <v>0.2</v>
      </c>
      <c r="J33" s="15">
        <v>0</v>
      </c>
      <c r="K33" s="15">
        <v>0</v>
      </c>
      <c r="L33" s="15">
        <v>0</v>
      </c>
      <c r="M33" s="15">
        <v>4.5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6">
        <v>0</v>
      </c>
      <c r="W33" s="14">
        <v>0</v>
      </c>
      <c r="X33" s="15">
        <v>0</v>
      </c>
      <c r="Y33" s="15">
        <v>295.5</v>
      </c>
      <c r="Z33" s="15">
        <f>(991-520)/2+520</f>
        <v>755.5</v>
      </c>
      <c r="AA33" s="15">
        <f>(641-380)/2+380</f>
        <v>510.5</v>
      </c>
      <c r="AB33" s="15">
        <f>(20-8.2)/2+8.2</f>
        <v>14.1</v>
      </c>
      <c r="AC33" s="15">
        <v>13.25</v>
      </c>
      <c r="AD33" s="16">
        <v>0</v>
      </c>
    </row>
    <row r="34" spans="1:30" ht="15" customHeight="1" x14ac:dyDescent="0.25">
      <c r="A34" s="13">
        <v>33</v>
      </c>
      <c r="B34" s="14">
        <v>68</v>
      </c>
      <c r="C34" s="15">
        <v>19.75</v>
      </c>
      <c r="D34" s="15">
        <v>0</v>
      </c>
      <c r="E34" s="15">
        <v>0</v>
      </c>
      <c r="F34" s="15">
        <v>6</v>
      </c>
      <c r="G34" s="15">
        <v>0</v>
      </c>
      <c r="H34" s="15">
        <v>0</v>
      </c>
      <c r="I34" s="15">
        <v>0.03</v>
      </c>
      <c r="J34" s="15">
        <v>0</v>
      </c>
      <c r="K34" s="15">
        <v>0</v>
      </c>
      <c r="L34" s="15">
        <v>0</v>
      </c>
      <c r="M34" s="15">
        <v>3.95</v>
      </c>
      <c r="N34" s="15">
        <v>0.02</v>
      </c>
      <c r="O34" s="15">
        <v>0.5</v>
      </c>
      <c r="P34" s="15">
        <v>0.5</v>
      </c>
      <c r="Q34" s="15">
        <v>0</v>
      </c>
      <c r="R34" s="15">
        <v>0</v>
      </c>
      <c r="S34" s="15">
        <v>1.25</v>
      </c>
      <c r="T34" s="15">
        <v>0</v>
      </c>
      <c r="U34" s="15">
        <v>0</v>
      </c>
      <c r="V34" s="16">
        <v>0</v>
      </c>
      <c r="W34" s="14">
        <v>0</v>
      </c>
      <c r="X34" s="15">
        <v>0</v>
      </c>
      <c r="Y34" s="15">
        <v>295</v>
      </c>
      <c r="Z34" s="15">
        <v>709</v>
      </c>
      <c r="AA34" s="15">
        <v>493</v>
      </c>
      <c r="AB34" s="15">
        <v>3.7</v>
      </c>
      <c r="AC34" s="15">
        <v>14.3</v>
      </c>
      <c r="AD34" s="16">
        <v>0</v>
      </c>
    </row>
    <row r="35" spans="1:30" ht="15" customHeight="1" x14ac:dyDescent="0.25">
      <c r="A35" s="13">
        <v>34</v>
      </c>
      <c r="B35" s="14">
        <v>59.9</v>
      </c>
      <c r="C35" s="15">
        <v>28</v>
      </c>
      <c r="D35" s="15">
        <v>1</v>
      </c>
      <c r="E35" s="15">
        <v>0</v>
      </c>
      <c r="F35" s="15">
        <v>7.5</v>
      </c>
      <c r="G35" s="15">
        <v>0</v>
      </c>
      <c r="H35" s="15">
        <v>0.3</v>
      </c>
      <c r="I35" s="15">
        <v>0.03</v>
      </c>
      <c r="J35" s="15">
        <v>0</v>
      </c>
      <c r="K35" s="15">
        <v>0</v>
      </c>
      <c r="L35" s="15">
        <v>0</v>
      </c>
      <c r="M35" s="15">
        <v>1.25</v>
      </c>
      <c r="N35" s="15">
        <v>0</v>
      </c>
      <c r="O35" s="15">
        <v>1.4</v>
      </c>
      <c r="P35" s="15">
        <f>(0.45-0.1)/2+0.1</f>
        <v>0.27500000000000002</v>
      </c>
      <c r="Q35" s="15">
        <v>0</v>
      </c>
      <c r="R35" s="15">
        <v>0</v>
      </c>
      <c r="S35" s="15">
        <v>0.3</v>
      </c>
      <c r="T35" s="15">
        <v>0</v>
      </c>
      <c r="U35" s="15">
        <v>0</v>
      </c>
      <c r="V35" s="16">
        <v>0</v>
      </c>
      <c r="W35" s="14">
        <v>0</v>
      </c>
      <c r="X35" s="15">
        <v>0</v>
      </c>
      <c r="Y35" s="15">
        <v>228.5</v>
      </c>
      <c r="Z35" s="15">
        <v>609</v>
      </c>
      <c r="AA35" s="15">
        <v>350</v>
      </c>
      <c r="AB35" s="15">
        <v>17</v>
      </c>
      <c r="AC35" s="15">
        <v>14.1</v>
      </c>
      <c r="AD35" s="16">
        <v>14.3</v>
      </c>
    </row>
    <row r="36" spans="1:30" ht="15" customHeight="1" x14ac:dyDescent="0.25">
      <c r="A36" s="13">
        <v>35</v>
      </c>
      <c r="B36" s="14">
        <v>47.9</v>
      </c>
      <c r="C36" s="15">
        <v>21.5</v>
      </c>
      <c r="D36" s="15">
        <v>5</v>
      </c>
      <c r="E36" s="15">
        <v>0</v>
      </c>
      <c r="F36" s="15">
        <v>11</v>
      </c>
      <c r="G36" s="15">
        <v>0</v>
      </c>
      <c r="H36" s="15">
        <v>0</v>
      </c>
      <c r="I36" s="15">
        <v>0.12</v>
      </c>
      <c r="J36" s="15">
        <v>0</v>
      </c>
      <c r="K36" s="15">
        <v>0</v>
      </c>
      <c r="L36" s="15">
        <f>(3.5-0.2)/2+0.2</f>
        <v>1.8499999999999999</v>
      </c>
      <c r="M36" s="15">
        <v>1.05</v>
      </c>
      <c r="N36" s="15">
        <v>5</v>
      </c>
      <c r="O36" s="15">
        <v>5</v>
      </c>
      <c r="P36" s="15">
        <v>0.8</v>
      </c>
      <c r="Q36" s="15">
        <v>0</v>
      </c>
      <c r="R36" s="15">
        <v>0</v>
      </c>
      <c r="S36" s="15">
        <v>0</v>
      </c>
      <c r="T36" s="15">
        <v>0</v>
      </c>
      <c r="U36" s="15">
        <v>0.8</v>
      </c>
      <c r="V36" s="16">
        <v>0</v>
      </c>
      <c r="W36" s="14">
        <v>0</v>
      </c>
      <c r="X36" s="15">
        <v>0</v>
      </c>
      <c r="Y36" s="15">
        <v>184</v>
      </c>
      <c r="Z36" s="15">
        <v>0</v>
      </c>
      <c r="AA36" s="15">
        <v>330</v>
      </c>
      <c r="AB36" s="15">
        <v>25.5</v>
      </c>
      <c r="AC36" s="15">
        <v>14.15</v>
      </c>
      <c r="AD36" s="16">
        <v>0</v>
      </c>
    </row>
    <row r="37" spans="1:30" ht="15" customHeight="1" x14ac:dyDescent="0.25">
      <c r="A37" s="13">
        <v>36</v>
      </c>
      <c r="B37" s="14">
        <v>66.3</v>
      </c>
      <c r="C37" s="15">
        <v>23.5</v>
      </c>
      <c r="D37" s="15">
        <v>0</v>
      </c>
      <c r="E37" s="15">
        <v>0</v>
      </c>
      <c r="F37" s="15">
        <v>4.75</v>
      </c>
      <c r="G37" s="15">
        <v>0</v>
      </c>
      <c r="H37" s="15">
        <v>0.2</v>
      </c>
      <c r="I37" s="15">
        <v>0.05</v>
      </c>
      <c r="J37" s="15">
        <v>0</v>
      </c>
      <c r="K37" s="15">
        <v>0</v>
      </c>
      <c r="L37" s="15">
        <v>0</v>
      </c>
      <c r="M37" s="15">
        <v>3.25</v>
      </c>
      <c r="N37" s="15">
        <v>0.5</v>
      </c>
      <c r="O37" s="15">
        <v>0.5</v>
      </c>
      <c r="P37" s="15">
        <f>(0.2-0.005)/2+0.005</f>
        <v>0.10250000000000001</v>
      </c>
      <c r="Q37" s="15">
        <v>0.5</v>
      </c>
      <c r="R37" s="15">
        <v>0</v>
      </c>
      <c r="S37" s="15">
        <v>0.375</v>
      </c>
      <c r="T37" s="15">
        <v>0.01</v>
      </c>
      <c r="U37" s="15">
        <v>0</v>
      </c>
      <c r="V37" s="16">
        <v>0</v>
      </c>
      <c r="W37" s="14">
        <v>0</v>
      </c>
      <c r="X37" s="15">
        <v>0</v>
      </c>
      <c r="Y37" s="15">
        <v>205</v>
      </c>
      <c r="Z37" s="15">
        <v>494</v>
      </c>
      <c r="AA37" s="15">
        <v>266</v>
      </c>
      <c r="AB37" s="15">
        <f>(8-6.5)/2+6.5</f>
        <v>7.25</v>
      </c>
      <c r="AC37" s="15">
        <f>(15.1-14.3)/2+14.3</f>
        <v>14.7</v>
      </c>
      <c r="AD37" s="16">
        <v>0</v>
      </c>
    </row>
    <row r="38" spans="1:30" ht="15" customHeight="1" x14ac:dyDescent="0.25">
      <c r="A38" s="13">
        <v>37</v>
      </c>
      <c r="B38" s="14">
        <v>63.8</v>
      </c>
      <c r="C38" s="15">
        <v>30</v>
      </c>
      <c r="D38" s="15">
        <v>0.2</v>
      </c>
      <c r="E38" s="15">
        <v>0</v>
      </c>
      <c r="F38" s="15">
        <v>0.2</v>
      </c>
      <c r="G38" s="15">
        <v>2.5</v>
      </c>
      <c r="H38" s="15">
        <v>1.1000000000000001</v>
      </c>
      <c r="I38" s="15">
        <f>(0.1-0.03)/2+0.03</f>
        <v>6.5000000000000002E-2</v>
      </c>
      <c r="J38" s="15">
        <v>0</v>
      </c>
      <c r="K38" s="15">
        <v>0</v>
      </c>
      <c r="L38" s="15">
        <f>(1.1-0.02)/2+0.02</f>
        <v>0.56000000000000005</v>
      </c>
      <c r="M38" s="15">
        <v>0.1</v>
      </c>
      <c r="N38" s="15">
        <v>0.2</v>
      </c>
      <c r="O38" s="15">
        <v>1</v>
      </c>
      <c r="P38" s="15">
        <v>0</v>
      </c>
      <c r="Q38" s="15">
        <v>0.1</v>
      </c>
      <c r="R38" s="15">
        <v>0</v>
      </c>
      <c r="S38" s="15">
        <v>0</v>
      </c>
      <c r="T38" s="15">
        <v>5.0000000000000001E-3</v>
      </c>
      <c r="U38" s="15">
        <v>0</v>
      </c>
      <c r="V38" s="16">
        <v>0</v>
      </c>
      <c r="W38" s="14">
        <v>0</v>
      </c>
      <c r="X38" s="15">
        <v>0</v>
      </c>
      <c r="Y38" s="15">
        <v>0</v>
      </c>
      <c r="Z38" s="15">
        <v>973</v>
      </c>
      <c r="AA38" s="15">
        <v>654</v>
      </c>
      <c r="AB38" s="15">
        <v>0</v>
      </c>
      <c r="AC38" s="15">
        <v>0</v>
      </c>
      <c r="AD38" s="16">
        <v>0</v>
      </c>
    </row>
    <row r="39" spans="1:30" ht="15" customHeight="1" x14ac:dyDescent="0.25">
      <c r="A39" s="13">
        <v>38</v>
      </c>
      <c r="B39" s="14">
        <v>61</v>
      </c>
      <c r="C39" s="15">
        <v>25</v>
      </c>
      <c r="D39" s="15">
        <v>0</v>
      </c>
      <c r="E39" s="15">
        <v>0</v>
      </c>
      <c r="F39" s="15">
        <v>10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6">
        <v>0</v>
      </c>
      <c r="W39" s="14">
        <v>8.1999999999999993</v>
      </c>
      <c r="X39" s="15">
        <v>200</v>
      </c>
      <c r="Y39" s="15">
        <v>230</v>
      </c>
      <c r="Z39" s="15">
        <v>300</v>
      </c>
      <c r="AA39" s="15">
        <v>0</v>
      </c>
      <c r="AB39" s="15">
        <v>15</v>
      </c>
      <c r="AC39" s="15">
        <v>13.9</v>
      </c>
      <c r="AD39" s="16">
        <v>0</v>
      </c>
    </row>
    <row r="40" spans="1:30" ht="15" customHeight="1" x14ac:dyDescent="0.25">
      <c r="A40" s="13">
        <v>39</v>
      </c>
      <c r="B40" s="14">
        <v>59</v>
      </c>
      <c r="C40" s="15">
        <v>21.5</v>
      </c>
      <c r="D40" s="15">
        <v>0</v>
      </c>
      <c r="E40" s="15">
        <v>0</v>
      </c>
      <c r="F40" s="15">
        <v>4.5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6">
        <v>0</v>
      </c>
      <c r="W40" s="14">
        <v>8.5</v>
      </c>
      <c r="X40" s="15">
        <v>0</v>
      </c>
      <c r="Y40" s="15">
        <v>200</v>
      </c>
      <c r="Z40" s="15">
        <v>0</v>
      </c>
      <c r="AA40" s="15">
        <v>335</v>
      </c>
      <c r="AB40" s="15">
        <v>17</v>
      </c>
      <c r="AC40" s="15">
        <v>14.1</v>
      </c>
      <c r="AD40" s="16">
        <v>0</v>
      </c>
    </row>
    <row r="41" spans="1:30" ht="15" customHeight="1" x14ac:dyDescent="0.25">
      <c r="A41" s="13">
        <v>40</v>
      </c>
      <c r="B41" s="14">
        <v>77</v>
      </c>
      <c r="C41" s="15">
        <v>11.5</v>
      </c>
      <c r="D41" s="15">
        <v>0</v>
      </c>
      <c r="E41" s="15">
        <v>0</v>
      </c>
      <c r="F41" s="15">
        <v>3.5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6">
        <v>0</v>
      </c>
      <c r="W41" s="14">
        <v>7.7</v>
      </c>
      <c r="X41" s="15">
        <v>0</v>
      </c>
      <c r="Y41" s="15">
        <v>280</v>
      </c>
      <c r="Z41" s="15">
        <v>0</v>
      </c>
      <c r="AA41" s="15">
        <v>510</v>
      </c>
      <c r="AB41" s="15">
        <v>16</v>
      </c>
      <c r="AC41" s="15">
        <v>14.1</v>
      </c>
      <c r="AD41" s="16">
        <v>0</v>
      </c>
    </row>
    <row r="42" spans="1:30" ht="15" customHeight="1" x14ac:dyDescent="0.25">
      <c r="A42" s="13">
        <v>41</v>
      </c>
      <c r="B42" s="14">
        <v>67.099999999999994</v>
      </c>
      <c r="C42" s="15">
        <f>(21-14)/2+14</f>
        <v>17.5</v>
      </c>
      <c r="D42" s="15">
        <v>10</v>
      </c>
      <c r="E42" s="15">
        <v>0</v>
      </c>
      <c r="F42" s="15">
        <v>1.25</v>
      </c>
      <c r="G42" s="15">
        <v>0</v>
      </c>
      <c r="H42" s="15">
        <v>1.25</v>
      </c>
      <c r="I42" s="15">
        <v>0</v>
      </c>
      <c r="J42" s="15">
        <v>0</v>
      </c>
      <c r="K42" s="15">
        <v>0</v>
      </c>
      <c r="L42" s="15">
        <v>0</v>
      </c>
      <c r="M42" s="15">
        <v>0.35</v>
      </c>
      <c r="N42" s="15">
        <v>0.04</v>
      </c>
      <c r="O42" s="15">
        <v>1</v>
      </c>
      <c r="P42" s="15">
        <v>0</v>
      </c>
      <c r="Q42" s="15">
        <v>0.35</v>
      </c>
      <c r="R42" s="15">
        <v>1.1499999999999999</v>
      </c>
      <c r="S42" s="15">
        <v>0</v>
      </c>
      <c r="T42" s="15">
        <v>0</v>
      </c>
      <c r="U42" s="15">
        <v>0</v>
      </c>
      <c r="V42" s="16">
        <v>0</v>
      </c>
      <c r="W42" s="14">
        <v>0</v>
      </c>
      <c r="X42" s="15">
        <v>0</v>
      </c>
      <c r="Y42" s="15">
        <v>199</v>
      </c>
      <c r="Z42" s="15">
        <v>698</v>
      </c>
      <c r="AA42" s="15">
        <v>0</v>
      </c>
      <c r="AB42" s="15">
        <v>12</v>
      </c>
      <c r="AC42" s="15">
        <v>0</v>
      </c>
      <c r="AD42" s="16">
        <v>0</v>
      </c>
    </row>
    <row r="43" spans="1:30" ht="15" customHeight="1" x14ac:dyDescent="0.25">
      <c r="A43" s="13">
        <v>42</v>
      </c>
      <c r="B43" s="14">
        <v>70</v>
      </c>
      <c r="C43" s="15">
        <v>16.37</v>
      </c>
      <c r="D43" s="15">
        <v>0</v>
      </c>
      <c r="E43" s="15">
        <v>0</v>
      </c>
      <c r="F43" s="15">
        <v>8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1.9</v>
      </c>
      <c r="S43" s="15">
        <v>0</v>
      </c>
      <c r="T43" s="15">
        <v>0</v>
      </c>
      <c r="U43" s="15">
        <v>0</v>
      </c>
      <c r="V43" s="16">
        <v>0</v>
      </c>
      <c r="W43" s="14">
        <v>0</v>
      </c>
      <c r="X43" s="15">
        <v>0</v>
      </c>
      <c r="Y43" s="15">
        <v>228</v>
      </c>
      <c r="Z43" s="15">
        <v>0</v>
      </c>
      <c r="AA43" s="15">
        <v>0</v>
      </c>
      <c r="AB43" s="15">
        <v>11</v>
      </c>
      <c r="AC43" s="15">
        <v>0</v>
      </c>
      <c r="AD43" s="16">
        <v>13.64</v>
      </c>
    </row>
    <row r="44" spans="1:30" ht="15" customHeight="1" x14ac:dyDescent="0.25">
      <c r="A44" s="13">
        <v>43</v>
      </c>
      <c r="B44" s="14">
        <v>76</v>
      </c>
      <c r="C44" s="15">
        <v>14</v>
      </c>
      <c r="D44" s="15">
        <v>0</v>
      </c>
      <c r="E44" s="15">
        <v>0</v>
      </c>
      <c r="F44" s="15">
        <v>6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1.8</v>
      </c>
      <c r="S44" s="15">
        <v>0</v>
      </c>
      <c r="T44" s="15">
        <v>0</v>
      </c>
      <c r="U44" s="15">
        <v>0</v>
      </c>
      <c r="V44" s="16">
        <v>0</v>
      </c>
      <c r="W44" s="14">
        <v>7.8</v>
      </c>
      <c r="X44" s="15">
        <v>0</v>
      </c>
      <c r="Y44" s="15">
        <v>240</v>
      </c>
      <c r="Z44" s="15">
        <v>1138</v>
      </c>
      <c r="AA44" s="15">
        <v>0</v>
      </c>
      <c r="AB44" s="15">
        <v>13.5</v>
      </c>
      <c r="AC44" s="15">
        <v>14.4</v>
      </c>
      <c r="AD44" s="16">
        <v>14</v>
      </c>
    </row>
    <row r="45" spans="1:30" ht="15" customHeight="1" x14ac:dyDescent="0.25">
      <c r="A45" s="13">
        <v>44</v>
      </c>
      <c r="B45" s="14">
        <v>61</v>
      </c>
      <c r="C45" s="15">
        <v>25</v>
      </c>
      <c r="D45" s="15">
        <v>0</v>
      </c>
      <c r="E45" s="15">
        <v>0</v>
      </c>
      <c r="F45" s="15">
        <v>10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6">
        <v>0</v>
      </c>
      <c r="W45" s="14">
        <v>8.1999999999999993</v>
      </c>
      <c r="X45" s="15">
        <v>200</v>
      </c>
      <c r="Y45" s="15">
        <v>250</v>
      </c>
      <c r="Z45" s="15">
        <v>560</v>
      </c>
      <c r="AA45" s="15">
        <v>300</v>
      </c>
      <c r="AB45" s="15">
        <v>12</v>
      </c>
      <c r="AC45" s="15">
        <v>0</v>
      </c>
      <c r="AD45" s="16">
        <v>13.9</v>
      </c>
    </row>
    <row r="46" spans="1:30" ht="15" customHeight="1" x14ac:dyDescent="0.25">
      <c r="A46" s="13">
        <v>45</v>
      </c>
      <c r="B46" s="14">
        <v>63</v>
      </c>
      <c r="C46" s="15">
        <v>24</v>
      </c>
      <c r="D46" s="15">
        <v>0</v>
      </c>
      <c r="E46" s="15">
        <v>5</v>
      </c>
      <c r="F46" s="15">
        <v>5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6">
        <v>0</v>
      </c>
      <c r="W46" s="14">
        <v>8.3000000000000007</v>
      </c>
      <c r="X46" s="15">
        <v>215</v>
      </c>
      <c r="Y46" s="15">
        <v>270</v>
      </c>
      <c r="Z46" s="15">
        <v>640</v>
      </c>
      <c r="AA46" s="15">
        <v>500</v>
      </c>
      <c r="AB46" s="15">
        <v>6</v>
      </c>
      <c r="AC46" s="15">
        <v>0</v>
      </c>
      <c r="AD46" s="16">
        <v>13.9</v>
      </c>
    </row>
    <row r="47" spans="1:30" ht="15" customHeight="1" x14ac:dyDescent="0.25">
      <c r="A47" s="13">
        <v>46</v>
      </c>
      <c r="B47" s="14">
        <v>61</v>
      </c>
      <c r="C47" s="15">
        <v>25</v>
      </c>
      <c r="D47" s="15">
        <v>0</v>
      </c>
      <c r="E47" s="15">
        <v>0</v>
      </c>
      <c r="F47" s="15">
        <v>9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6">
        <v>0</v>
      </c>
      <c r="W47" s="14">
        <v>8.1999999999999993</v>
      </c>
      <c r="X47" s="15">
        <v>200</v>
      </c>
      <c r="Y47" s="15">
        <v>230</v>
      </c>
      <c r="Z47" s="15">
        <v>580</v>
      </c>
      <c r="AA47" s="15">
        <v>300</v>
      </c>
      <c r="AB47" s="15">
        <v>15</v>
      </c>
      <c r="AC47" s="15">
        <v>0</v>
      </c>
      <c r="AD47" s="16">
        <v>14</v>
      </c>
    </row>
    <row r="48" spans="1:30" ht="15" customHeight="1" x14ac:dyDescent="0.25">
      <c r="A48" s="13">
        <v>47</v>
      </c>
      <c r="B48" s="14">
        <v>77</v>
      </c>
      <c r="C48" s="15">
        <v>12</v>
      </c>
      <c r="D48" s="15">
        <v>0</v>
      </c>
      <c r="E48" s="15">
        <v>0</v>
      </c>
      <c r="F48" s="15">
        <v>3.5</v>
      </c>
      <c r="G48" s="15">
        <v>0</v>
      </c>
      <c r="H48" s="15">
        <v>2</v>
      </c>
      <c r="I48" s="15">
        <v>0</v>
      </c>
      <c r="J48" s="15">
        <v>0</v>
      </c>
      <c r="K48" s="15">
        <v>0</v>
      </c>
      <c r="L48" s="15">
        <v>3</v>
      </c>
      <c r="M48" s="15">
        <v>2.2000000000000002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6">
        <v>0</v>
      </c>
      <c r="W48" s="14">
        <v>8.4</v>
      </c>
      <c r="X48" s="15">
        <v>0</v>
      </c>
      <c r="Y48" s="15">
        <v>340</v>
      </c>
      <c r="Z48" s="15">
        <v>765</v>
      </c>
      <c r="AA48" s="15">
        <v>613</v>
      </c>
      <c r="AB48" s="15">
        <v>5.5</v>
      </c>
      <c r="AC48" s="15">
        <v>0</v>
      </c>
      <c r="AD48" s="16">
        <v>14</v>
      </c>
    </row>
    <row r="49" spans="1:30" ht="15" customHeight="1" x14ac:dyDescent="0.25">
      <c r="A49" s="13">
        <v>48</v>
      </c>
      <c r="B49" s="14">
        <v>65.900000000000006</v>
      </c>
      <c r="C49" s="15">
        <v>17</v>
      </c>
      <c r="D49" s="15">
        <v>0</v>
      </c>
      <c r="E49" s="15">
        <v>0</v>
      </c>
      <c r="F49" s="15">
        <v>5</v>
      </c>
      <c r="G49" s="15">
        <v>0</v>
      </c>
      <c r="H49" s="15">
        <v>5</v>
      </c>
      <c r="I49" s="15">
        <v>0.1</v>
      </c>
      <c r="J49" s="15">
        <v>0</v>
      </c>
      <c r="K49" s="15">
        <v>0</v>
      </c>
      <c r="L49" s="15">
        <v>0</v>
      </c>
      <c r="M49" s="15">
        <v>0.5</v>
      </c>
      <c r="N49" s="15">
        <v>5</v>
      </c>
      <c r="O49" s="15">
        <v>0.5</v>
      </c>
      <c r="P49" s="15">
        <v>0</v>
      </c>
      <c r="Q49" s="15">
        <v>0</v>
      </c>
      <c r="R49" s="15">
        <v>1</v>
      </c>
      <c r="S49" s="15">
        <v>0</v>
      </c>
      <c r="T49" s="15">
        <v>0</v>
      </c>
      <c r="U49" s="15">
        <v>0</v>
      </c>
      <c r="V49" s="16">
        <v>0</v>
      </c>
      <c r="W49" s="14">
        <v>0</v>
      </c>
      <c r="X49" s="15">
        <v>186</v>
      </c>
      <c r="Y49" s="15">
        <v>340</v>
      </c>
      <c r="Z49" s="15">
        <v>800</v>
      </c>
      <c r="AA49" s="15">
        <v>690</v>
      </c>
      <c r="AB49" s="15">
        <v>1.7</v>
      </c>
      <c r="AC49" s="15">
        <v>0</v>
      </c>
      <c r="AD49" s="16">
        <v>0</v>
      </c>
    </row>
    <row r="50" spans="1:30" ht="15" customHeight="1" x14ac:dyDescent="0.25">
      <c r="A50" s="13">
        <v>49</v>
      </c>
      <c r="B50" s="14">
        <v>61.6</v>
      </c>
      <c r="C50" s="15">
        <v>26.5</v>
      </c>
      <c r="D50" s="15">
        <v>0</v>
      </c>
      <c r="E50" s="15">
        <v>0</v>
      </c>
      <c r="F50" s="15">
        <v>10.4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1.49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6">
        <v>0</v>
      </c>
      <c r="W50" s="14">
        <v>8.1999999999999993</v>
      </c>
      <c r="X50" s="15">
        <v>0</v>
      </c>
      <c r="Y50" s="15">
        <v>0</v>
      </c>
      <c r="Z50" s="15">
        <v>660</v>
      </c>
      <c r="AA50" s="15">
        <v>0</v>
      </c>
      <c r="AB50" s="15">
        <v>15</v>
      </c>
      <c r="AC50" s="15">
        <v>14.2</v>
      </c>
      <c r="AD50" s="16">
        <v>0</v>
      </c>
    </row>
    <row r="51" spans="1:30" ht="15" customHeight="1" x14ac:dyDescent="0.25">
      <c r="A51" s="13">
        <v>50</v>
      </c>
      <c r="B51" s="14">
        <v>75</v>
      </c>
      <c r="C51" s="15">
        <v>17.5</v>
      </c>
      <c r="D51" s="15">
        <v>0</v>
      </c>
      <c r="E51" s="15">
        <v>0</v>
      </c>
      <c r="F51" s="15">
        <v>4.5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3</v>
      </c>
      <c r="M51" s="15">
        <v>2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0.55000000000000004</v>
      </c>
      <c r="T51" s="15">
        <v>0</v>
      </c>
      <c r="U51" s="15">
        <v>0</v>
      </c>
      <c r="V51" s="16">
        <v>2.75</v>
      </c>
      <c r="W51" s="14">
        <v>0</v>
      </c>
      <c r="X51" s="15">
        <v>0</v>
      </c>
      <c r="Y51" s="15">
        <v>0</v>
      </c>
      <c r="Z51" s="15">
        <v>558</v>
      </c>
      <c r="AA51" s="15">
        <v>349</v>
      </c>
      <c r="AB51" s="15">
        <v>0</v>
      </c>
      <c r="AC51" s="15">
        <v>14</v>
      </c>
      <c r="AD51" s="16">
        <v>0</v>
      </c>
    </row>
    <row r="52" spans="1:30" ht="15" customHeight="1" x14ac:dyDescent="0.25">
      <c r="A52" s="13">
        <v>51</v>
      </c>
      <c r="B52" s="14">
        <v>67.900000000000006</v>
      </c>
      <c r="C52" s="15">
        <v>17</v>
      </c>
      <c r="D52" s="15">
        <v>3</v>
      </c>
      <c r="E52" s="15">
        <v>0</v>
      </c>
      <c r="F52" s="15">
        <v>3.5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2.5</v>
      </c>
      <c r="N52" s="15">
        <v>0</v>
      </c>
      <c r="O52" s="15">
        <v>0.05</v>
      </c>
      <c r="P52" s="15">
        <v>0</v>
      </c>
      <c r="Q52" s="15">
        <v>0</v>
      </c>
      <c r="R52" s="15">
        <v>0</v>
      </c>
      <c r="S52" s="15">
        <v>1.05</v>
      </c>
      <c r="T52" s="15">
        <v>0</v>
      </c>
      <c r="U52" s="15">
        <v>0</v>
      </c>
      <c r="V52" s="16">
        <v>4</v>
      </c>
      <c r="W52" s="14">
        <v>8.25</v>
      </c>
      <c r="X52" s="15">
        <v>168</v>
      </c>
      <c r="Y52" s="15">
        <v>227</v>
      </c>
      <c r="Z52" s="15">
        <v>364</v>
      </c>
      <c r="AA52" s="15">
        <v>0</v>
      </c>
      <c r="AB52" s="15">
        <v>0</v>
      </c>
      <c r="AC52" s="15">
        <v>0</v>
      </c>
      <c r="AD52" s="16">
        <v>0</v>
      </c>
    </row>
    <row r="53" spans="1:30" ht="15" customHeight="1" x14ac:dyDescent="0.25">
      <c r="A53" s="13">
        <v>52</v>
      </c>
      <c r="B53" s="14">
        <v>80.900000000000006</v>
      </c>
      <c r="C53" s="15">
        <v>14</v>
      </c>
      <c r="D53" s="15">
        <v>0</v>
      </c>
      <c r="E53" s="15">
        <v>0</v>
      </c>
      <c r="F53" s="15">
        <v>2.2000000000000002</v>
      </c>
      <c r="G53" s="15">
        <v>0</v>
      </c>
      <c r="H53" s="15">
        <v>2.75</v>
      </c>
      <c r="I53" s="15">
        <f>(0.3-0.03)/2+0.03</f>
        <v>0.16500000000000001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6">
        <v>0</v>
      </c>
      <c r="W53" s="14">
        <v>7.8</v>
      </c>
      <c r="X53" s="15">
        <v>0</v>
      </c>
      <c r="Y53" s="15">
        <v>279</v>
      </c>
      <c r="Z53" s="15">
        <f>(803-768)/2+762</f>
        <v>779.5</v>
      </c>
      <c r="AA53" s="15">
        <v>0</v>
      </c>
      <c r="AB53" s="15">
        <v>2</v>
      </c>
      <c r="AC53" s="15">
        <v>0</v>
      </c>
      <c r="AD53" s="16">
        <v>0</v>
      </c>
    </row>
    <row r="54" spans="1:30" ht="15" customHeight="1" x14ac:dyDescent="0.25">
      <c r="A54" s="13">
        <v>53</v>
      </c>
      <c r="B54" s="14">
        <v>78.099999999999994</v>
      </c>
      <c r="C54" s="15">
        <v>13.5</v>
      </c>
      <c r="D54" s="15">
        <v>1.5</v>
      </c>
      <c r="E54" s="15">
        <v>0</v>
      </c>
      <c r="F54" s="15">
        <v>0</v>
      </c>
      <c r="G54" s="15">
        <v>0</v>
      </c>
      <c r="H54" s="15">
        <v>3</v>
      </c>
      <c r="I54" s="15">
        <v>0</v>
      </c>
      <c r="J54" s="15">
        <v>0</v>
      </c>
      <c r="K54" s="15">
        <v>0</v>
      </c>
      <c r="L54" s="15">
        <v>0</v>
      </c>
      <c r="M54" s="15">
        <v>1</v>
      </c>
      <c r="N54" s="15">
        <v>0.1</v>
      </c>
      <c r="O54" s="15">
        <v>0.3</v>
      </c>
      <c r="P54" s="15">
        <v>0</v>
      </c>
      <c r="Q54" s="15">
        <v>0</v>
      </c>
      <c r="R54" s="15">
        <v>1.9</v>
      </c>
      <c r="S54" s="15">
        <v>0</v>
      </c>
      <c r="T54" s="15">
        <v>0</v>
      </c>
      <c r="U54" s="15">
        <v>0.5</v>
      </c>
      <c r="V54" s="16">
        <v>0</v>
      </c>
      <c r="W54" s="14">
        <v>0</v>
      </c>
      <c r="X54" s="15">
        <v>178</v>
      </c>
      <c r="Y54" s="15">
        <v>0</v>
      </c>
      <c r="Z54" s="15">
        <v>593</v>
      </c>
      <c r="AA54" s="15">
        <v>524</v>
      </c>
      <c r="AB54" s="15">
        <v>2.15</v>
      </c>
      <c r="AC54" s="15">
        <v>0</v>
      </c>
      <c r="AD54" s="16">
        <v>0</v>
      </c>
    </row>
    <row r="55" spans="1:30" ht="15" customHeight="1" x14ac:dyDescent="0.25">
      <c r="A55" s="13">
        <v>54</v>
      </c>
      <c r="B55" s="14">
        <v>71.099999999999994</v>
      </c>
      <c r="C55" s="15">
        <v>19.14</v>
      </c>
      <c r="D55" s="15">
        <v>0</v>
      </c>
      <c r="E55" s="15">
        <v>0</v>
      </c>
      <c r="F55" s="15">
        <v>4.32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3.9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1.55</v>
      </c>
      <c r="T55" s="15">
        <v>0</v>
      </c>
      <c r="U55" s="15">
        <v>0</v>
      </c>
      <c r="V55" s="16">
        <v>0</v>
      </c>
      <c r="W55" s="14">
        <v>0</v>
      </c>
      <c r="X55" s="15">
        <v>0</v>
      </c>
      <c r="Y55" s="15">
        <v>294</v>
      </c>
      <c r="Z55" s="15">
        <v>859</v>
      </c>
      <c r="AA55" s="15">
        <v>628</v>
      </c>
      <c r="AB55" s="15">
        <v>1.24</v>
      </c>
      <c r="AC55" s="15">
        <v>13</v>
      </c>
      <c r="AD55" s="16">
        <v>0</v>
      </c>
    </row>
    <row r="56" spans="1:30" ht="15" customHeight="1" x14ac:dyDescent="0.25">
      <c r="A56" s="13">
        <v>55</v>
      </c>
      <c r="B56" s="14">
        <v>64</v>
      </c>
      <c r="C56" s="15">
        <v>10</v>
      </c>
      <c r="D56" s="15">
        <v>0</v>
      </c>
      <c r="E56" s="15">
        <v>0</v>
      </c>
      <c r="F56" s="15">
        <v>15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1</v>
      </c>
      <c r="N56" s="15">
        <v>0</v>
      </c>
      <c r="O56" s="15">
        <v>0</v>
      </c>
      <c r="P56" s="15">
        <v>0</v>
      </c>
      <c r="Q56" s="15">
        <v>10</v>
      </c>
      <c r="R56" s="15">
        <v>0</v>
      </c>
      <c r="S56" s="15">
        <v>0</v>
      </c>
      <c r="T56" s="15">
        <v>0</v>
      </c>
      <c r="U56" s="15">
        <v>0</v>
      </c>
      <c r="V56" s="16">
        <v>0</v>
      </c>
      <c r="W56" s="14">
        <v>0</v>
      </c>
      <c r="X56" s="15">
        <v>0</v>
      </c>
      <c r="Y56" s="15">
        <v>140</v>
      </c>
      <c r="Z56" s="15">
        <v>435</v>
      </c>
      <c r="AA56" s="15">
        <v>0</v>
      </c>
      <c r="AB56" s="15">
        <v>12.5</v>
      </c>
      <c r="AC56" s="15">
        <v>0</v>
      </c>
      <c r="AD56" s="16">
        <v>0</v>
      </c>
    </row>
    <row r="57" spans="1:30" ht="15" customHeight="1" x14ac:dyDescent="0.25">
      <c r="A57" s="13">
        <v>56</v>
      </c>
      <c r="B57" s="14">
        <v>70</v>
      </c>
      <c r="C57" s="15">
        <f>(23.5-15)/2+15</f>
        <v>19.25</v>
      </c>
      <c r="D57" s="15">
        <v>0</v>
      </c>
      <c r="E57" s="15">
        <v>0</v>
      </c>
      <c r="F57" s="15">
        <v>4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4.75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1.1000000000000001</v>
      </c>
      <c r="T57" s="15">
        <v>0</v>
      </c>
      <c r="U57" s="15">
        <v>0</v>
      </c>
      <c r="V57" s="16">
        <v>0</v>
      </c>
      <c r="W57" s="14">
        <v>0</v>
      </c>
      <c r="X57" s="15">
        <v>0</v>
      </c>
      <c r="Y57" s="15">
        <v>0</v>
      </c>
      <c r="Z57" s="15">
        <v>628</v>
      </c>
      <c r="AA57" s="15">
        <v>0</v>
      </c>
      <c r="AB57" s="15">
        <v>0</v>
      </c>
      <c r="AC57" s="15">
        <v>13.65</v>
      </c>
      <c r="AD57" s="16">
        <v>0</v>
      </c>
    </row>
    <row r="58" spans="1:30" ht="15" customHeight="1" x14ac:dyDescent="0.25">
      <c r="A58" s="13">
        <v>57</v>
      </c>
      <c r="B58" s="14">
        <v>68</v>
      </c>
      <c r="C58" s="15">
        <v>17.5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6.5</v>
      </c>
      <c r="M58" s="15">
        <v>0</v>
      </c>
      <c r="N58" s="15">
        <v>5.5</v>
      </c>
      <c r="O58" s="15">
        <v>0</v>
      </c>
      <c r="P58" s="15">
        <v>0</v>
      </c>
      <c r="Q58" s="15">
        <v>0</v>
      </c>
      <c r="R58" s="15">
        <v>1.25</v>
      </c>
      <c r="S58" s="15">
        <v>0</v>
      </c>
      <c r="T58" s="15">
        <v>0</v>
      </c>
      <c r="U58" s="15">
        <v>0</v>
      </c>
      <c r="V58" s="16">
        <v>0</v>
      </c>
      <c r="W58" s="14">
        <v>0</v>
      </c>
      <c r="X58" s="15">
        <v>0</v>
      </c>
      <c r="Y58" s="15">
        <v>0</v>
      </c>
      <c r="Z58" s="15">
        <v>558</v>
      </c>
      <c r="AA58" s="15">
        <v>349</v>
      </c>
      <c r="AB58" s="15">
        <v>0</v>
      </c>
      <c r="AC58" s="15">
        <v>14</v>
      </c>
      <c r="AD58" s="16">
        <v>0</v>
      </c>
    </row>
    <row r="59" spans="1:30" ht="15" customHeight="1" x14ac:dyDescent="0.25">
      <c r="A59" s="13">
        <v>58</v>
      </c>
      <c r="B59" s="14">
        <v>63</v>
      </c>
      <c r="C59" s="15">
        <v>20.5</v>
      </c>
      <c r="D59" s="15">
        <v>0</v>
      </c>
      <c r="E59" s="15">
        <v>0</v>
      </c>
      <c r="F59" s="15">
        <v>8</v>
      </c>
      <c r="G59" s="15">
        <f>(0.2-0.01)/2+0.01</f>
        <v>0.105</v>
      </c>
      <c r="H59" s="15">
        <v>0.505</v>
      </c>
      <c r="I59" s="15">
        <v>0.505</v>
      </c>
      <c r="J59" s="15">
        <v>0</v>
      </c>
      <c r="K59" s="15">
        <v>2.0499999999999998</v>
      </c>
      <c r="L59" s="15">
        <f>(4-0.1)/2+0.1</f>
        <v>2.0499999999999998</v>
      </c>
      <c r="M59" s="15">
        <f>(0.6-0.01)/2+0.01</f>
        <v>0.30499999999999999</v>
      </c>
      <c r="N59" s="15">
        <f>(0.4-0.01)/2+0.01</f>
        <v>0.20500000000000002</v>
      </c>
      <c r="O59" s="15">
        <v>1.1000000000000001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6">
        <v>0</v>
      </c>
      <c r="W59" s="14">
        <v>0</v>
      </c>
      <c r="X59" s="15">
        <v>188</v>
      </c>
      <c r="Y59" s="15">
        <v>200</v>
      </c>
      <c r="Z59" s="15">
        <v>524</v>
      </c>
      <c r="AA59" s="15">
        <v>377</v>
      </c>
      <c r="AB59" s="15">
        <v>8</v>
      </c>
      <c r="AC59" s="15">
        <v>14</v>
      </c>
      <c r="AD59" s="16">
        <v>0</v>
      </c>
    </row>
    <row r="60" spans="1:30" ht="15" customHeight="1" x14ac:dyDescent="0.25">
      <c r="A60" s="13">
        <v>59</v>
      </c>
      <c r="B60" s="14">
        <v>64.099999999999994</v>
      </c>
      <c r="C60" s="15">
        <v>20.34</v>
      </c>
      <c r="D60" s="15">
        <v>0</v>
      </c>
      <c r="E60" s="15">
        <v>0</v>
      </c>
      <c r="F60" s="15">
        <v>10.44</v>
      </c>
      <c r="G60" s="15">
        <v>0</v>
      </c>
      <c r="H60" s="15">
        <v>0</v>
      </c>
      <c r="I60" s="15">
        <v>1.7000000000000001E-2</v>
      </c>
      <c r="J60" s="15">
        <v>0</v>
      </c>
      <c r="K60" s="15">
        <v>0</v>
      </c>
      <c r="L60" s="15">
        <v>0</v>
      </c>
      <c r="M60" s="15">
        <v>1.57</v>
      </c>
      <c r="N60" s="15">
        <v>0.06</v>
      </c>
      <c r="O60" s="15">
        <v>2.78</v>
      </c>
      <c r="P60" s="15">
        <v>0.65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6">
        <v>0</v>
      </c>
      <c r="W60" s="14">
        <v>0</v>
      </c>
      <c r="X60" s="15">
        <v>0</v>
      </c>
      <c r="Y60" s="15">
        <v>200</v>
      </c>
      <c r="Z60" s="15">
        <v>0</v>
      </c>
      <c r="AA60" s="15">
        <v>345</v>
      </c>
      <c r="AB60" s="15">
        <v>20.8</v>
      </c>
      <c r="AC60" s="15">
        <v>14</v>
      </c>
      <c r="AD60" s="16">
        <v>0</v>
      </c>
    </row>
    <row r="61" spans="1:30" ht="15" customHeight="1" x14ac:dyDescent="0.25">
      <c r="A61" s="13">
        <v>60</v>
      </c>
      <c r="B61" s="14">
        <v>62</v>
      </c>
      <c r="C61" s="15">
        <v>22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6">
        <v>0</v>
      </c>
      <c r="W61" s="14">
        <v>8.4499999999999993</v>
      </c>
      <c r="X61" s="15">
        <v>0</v>
      </c>
      <c r="Y61" s="15">
        <v>290</v>
      </c>
      <c r="Z61" s="15">
        <v>0</v>
      </c>
      <c r="AA61" s="15">
        <v>0</v>
      </c>
      <c r="AB61" s="15">
        <v>15</v>
      </c>
      <c r="AC61" s="15">
        <v>0</v>
      </c>
      <c r="AD61" s="16">
        <v>14.05</v>
      </c>
    </row>
    <row r="62" spans="1:30" ht="15" customHeight="1" x14ac:dyDescent="0.25">
      <c r="A62" s="13">
        <v>61</v>
      </c>
      <c r="B62" s="14">
        <v>58.7</v>
      </c>
      <c r="C62" s="15">
        <v>25</v>
      </c>
      <c r="D62" s="15">
        <v>0.1</v>
      </c>
      <c r="E62" s="15">
        <v>0</v>
      </c>
      <c r="F62" s="15">
        <v>12.1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1.7</v>
      </c>
      <c r="N62" s="15">
        <v>0</v>
      </c>
      <c r="O62" s="15">
        <v>1.9</v>
      </c>
      <c r="P62" s="15">
        <v>0.5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6">
        <v>0</v>
      </c>
      <c r="W62" s="14">
        <v>8.3000000000000007</v>
      </c>
      <c r="X62" s="15">
        <v>200</v>
      </c>
      <c r="Y62" s="15">
        <v>200</v>
      </c>
      <c r="Z62" s="15">
        <v>0</v>
      </c>
      <c r="AA62" s="15">
        <v>340</v>
      </c>
      <c r="AB62" s="15">
        <v>15</v>
      </c>
      <c r="AC62" s="15">
        <v>14.4</v>
      </c>
      <c r="AD62" s="16">
        <v>13.9</v>
      </c>
    </row>
    <row r="63" spans="1:30" ht="15" customHeight="1" x14ac:dyDescent="0.25">
      <c r="A63" s="13">
        <v>62</v>
      </c>
      <c r="B63" s="14">
        <v>64.5</v>
      </c>
      <c r="C63" s="15">
        <v>24</v>
      </c>
      <c r="D63" s="15">
        <v>0</v>
      </c>
      <c r="E63" s="15">
        <v>0</v>
      </c>
      <c r="F63" s="15">
        <v>10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0.5</v>
      </c>
      <c r="M63" s="15">
        <v>1.5</v>
      </c>
      <c r="N63" s="15">
        <v>0.5</v>
      </c>
      <c r="O63" s="15">
        <v>0</v>
      </c>
      <c r="P63" s="15">
        <v>0.5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6">
        <v>0</v>
      </c>
      <c r="W63" s="14">
        <v>8.1999999999999993</v>
      </c>
      <c r="X63" s="15">
        <v>170</v>
      </c>
      <c r="Y63" s="15">
        <v>180</v>
      </c>
      <c r="Z63" s="15">
        <v>630</v>
      </c>
      <c r="AA63" s="15">
        <v>370</v>
      </c>
      <c r="AB63" s="15">
        <v>25</v>
      </c>
      <c r="AC63" s="15">
        <v>14</v>
      </c>
      <c r="AD63" s="16">
        <v>0</v>
      </c>
    </row>
    <row r="64" spans="1:30" ht="15" customHeight="1" x14ac:dyDescent="0.25">
      <c r="A64" s="13">
        <v>63</v>
      </c>
      <c r="B64" s="14">
        <v>73</v>
      </c>
      <c r="C64" s="15">
        <v>14</v>
      </c>
      <c r="D64" s="15">
        <v>0</v>
      </c>
      <c r="E64" s="15">
        <v>0</v>
      </c>
      <c r="F64" s="15">
        <v>8.5</v>
      </c>
      <c r="G64" s="15">
        <v>0</v>
      </c>
      <c r="H64" s="15">
        <v>1.7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1.8</v>
      </c>
      <c r="S64" s="15">
        <v>0</v>
      </c>
      <c r="T64" s="15">
        <v>0</v>
      </c>
      <c r="U64" s="15">
        <v>0</v>
      </c>
      <c r="V64" s="16">
        <v>0</v>
      </c>
      <c r="W64" s="14">
        <v>7.9</v>
      </c>
      <c r="X64" s="15">
        <v>0</v>
      </c>
      <c r="Y64" s="15">
        <v>0</v>
      </c>
      <c r="Z64" s="15">
        <v>1160</v>
      </c>
      <c r="AA64" s="15">
        <v>880</v>
      </c>
      <c r="AB64" s="15">
        <v>7</v>
      </c>
      <c r="AC64" s="15">
        <v>0</v>
      </c>
      <c r="AD64" s="16">
        <v>13.4</v>
      </c>
    </row>
    <row r="65" spans="1:30" ht="15" customHeight="1" x14ac:dyDescent="0.25">
      <c r="A65" s="13">
        <v>64</v>
      </c>
      <c r="B65" s="14">
        <v>61</v>
      </c>
      <c r="C65" s="15">
        <v>25</v>
      </c>
      <c r="D65" s="15">
        <v>0</v>
      </c>
      <c r="E65" s="15">
        <v>0</v>
      </c>
      <c r="F65" s="15">
        <v>10.5</v>
      </c>
      <c r="G65" s="15">
        <v>0.5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1.5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6">
        <v>0</v>
      </c>
      <c r="W65" s="14">
        <v>8.3000000000000007</v>
      </c>
      <c r="X65" s="15">
        <v>0</v>
      </c>
      <c r="Y65" s="15">
        <v>200</v>
      </c>
      <c r="Z65" s="15">
        <v>261</v>
      </c>
      <c r="AA65" s="15">
        <v>316</v>
      </c>
      <c r="AB65" s="15">
        <v>3</v>
      </c>
      <c r="AC65" s="15">
        <v>0</v>
      </c>
      <c r="AD65" s="16">
        <v>14.07</v>
      </c>
    </row>
    <row r="66" spans="1:30" ht="15" customHeight="1" x14ac:dyDescent="0.25">
      <c r="A66" s="13">
        <v>65</v>
      </c>
      <c r="B66" s="14">
        <v>72</v>
      </c>
      <c r="C66" s="15">
        <v>17</v>
      </c>
      <c r="D66" s="15">
        <v>0</v>
      </c>
      <c r="E66" s="15">
        <v>0</v>
      </c>
      <c r="F66" s="15">
        <v>4.5</v>
      </c>
      <c r="G66" s="15">
        <v>6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6">
        <v>0</v>
      </c>
      <c r="W66" s="14">
        <v>7.8</v>
      </c>
      <c r="X66" s="15">
        <v>0</v>
      </c>
      <c r="Y66" s="15">
        <v>340</v>
      </c>
      <c r="Z66" s="15">
        <v>810</v>
      </c>
      <c r="AA66" s="15">
        <v>698</v>
      </c>
      <c r="AB66" s="15">
        <v>1.7</v>
      </c>
      <c r="AC66" s="15">
        <v>0</v>
      </c>
      <c r="AD66" s="16">
        <v>0</v>
      </c>
    </row>
    <row r="67" spans="1:30" ht="15" customHeight="1" x14ac:dyDescent="0.25">
      <c r="A67" s="13">
        <v>66</v>
      </c>
      <c r="B67" s="14">
        <v>63.1</v>
      </c>
      <c r="C67" s="15">
        <v>14</v>
      </c>
      <c r="D67" s="15">
        <v>0</v>
      </c>
      <c r="E67" s="15">
        <v>0</v>
      </c>
      <c r="F67" s="15">
        <v>4.5</v>
      </c>
      <c r="G67" s="15">
        <v>0</v>
      </c>
      <c r="H67" s="15">
        <v>3</v>
      </c>
      <c r="I67" s="15">
        <v>0</v>
      </c>
      <c r="J67" s="15">
        <v>0</v>
      </c>
      <c r="K67" s="15">
        <v>0</v>
      </c>
      <c r="L67" s="15">
        <v>3.5</v>
      </c>
      <c r="M67" s="15">
        <v>0.5</v>
      </c>
      <c r="N67" s="15">
        <v>5.3</v>
      </c>
      <c r="O67" s="15">
        <v>0</v>
      </c>
      <c r="P67" s="15">
        <v>0</v>
      </c>
      <c r="Q67" s="15">
        <v>4</v>
      </c>
      <c r="R67" s="15">
        <v>0</v>
      </c>
      <c r="S67" s="15">
        <v>0.13</v>
      </c>
      <c r="T67" s="15">
        <v>0</v>
      </c>
      <c r="U67" s="15">
        <v>0</v>
      </c>
      <c r="V67" s="16">
        <v>0</v>
      </c>
      <c r="W67" s="14">
        <v>0</v>
      </c>
      <c r="X67" s="15">
        <v>0</v>
      </c>
      <c r="Y67" s="15">
        <v>326</v>
      </c>
      <c r="Z67" s="15">
        <v>810</v>
      </c>
      <c r="AA67" s="15">
        <v>676</v>
      </c>
      <c r="AB67" s="15">
        <v>3.5</v>
      </c>
      <c r="AC67" s="15">
        <v>0</v>
      </c>
      <c r="AD67" s="16">
        <v>0</v>
      </c>
    </row>
    <row r="68" spans="1:30" ht="15" customHeight="1" x14ac:dyDescent="0.25">
      <c r="A68" s="13">
        <v>67</v>
      </c>
      <c r="B68" s="14">
        <v>64</v>
      </c>
      <c r="C68" s="15">
        <v>24</v>
      </c>
      <c r="D68" s="15">
        <v>0</v>
      </c>
      <c r="E68" s="15">
        <v>0</v>
      </c>
      <c r="F68" s="15">
        <v>9.5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1</v>
      </c>
      <c r="M68" s="15">
        <v>1</v>
      </c>
      <c r="N68" s="15">
        <v>0</v>
      </c>
      <c r="O68" s="15">
        <v>0.3</v>
      </c>
      <c r="P68" s="15">
        <v>0.2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6">
        <v>0</v>
      </c>
      <c r="W68" s="14">
        <v>8.1999999999999993</v>
      </c>
      <c r="X68" s="15">
        <v>190</v>
      </c>
      <c r="Y68" s="15">
        <v>180</v>
      </c>
      <c r="Z68" s="15">
        <v>0</v>
      </c>
      <c r="AA68" s="15">
        <v>360</v>
      </c>
      <c r="AB68" s="15">
        <v>9</v>
      </c>
      <c r="AC68" s="15">
        <v>14</v>
      </c>
      <c r="AD68" s="16">
        <v>13.8</v>
      </c>
    </row>
    <row r="69" spans="1:30" ht="15" customHeight="1" x14ac:dyDescent="0.25">
      <c r="A69" s="13">
        <v>68</v>
      </c>
      <c r="B69" s="14">
        <v>61</v>
      </c>
      <c r="C69" s="15">
        <v>26</v>
      </c>
      <c r="D69" s="15">
        <v>0.5</v>
      </c>
      <c r="E69" s="15">
        <v>0</v>
      </c>
      <c r="F69" s="15">
        <v>11</v>
      </c>
      <c r="G69" s="15">
        <v>0</v>
      </c>
      <c r="H69" s="15">
        <v>0.5</v>
      </c>
      <c r="I69" s="15">
        <v>0</v>
      </c>
      <c r="J69" s="15">
        <v>0</v>
      </c>
      <c r="K69" s="15">
        <v>0</v>
      </c>
      <c r="L69" s="15">
        <v>0</v>
      </c>
      <c r="M69" s="15">
        <v>1.5</v>
      </c>
      <c r="N69" s="15">
        <v>0</v>
      </c>
      <c r="O69" s="15">
        <v>0.5</v>
      </c>
      <c r="P69" s="15">
        <v>0.5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6">
        <v>0</v>
      </c>
      <c r="W69" s="14">
        <v>8.1999999999999993</v>
      </c>
      <c r="X69" s="15">
        <v>170</v>
      </c>
      <c r="Y69" s="15">
        <v>195</v>
      </c>
      <c r="Z69" s="15">
        <v>580</v>
      </c>
      <c r="AA69" s="15">
        <v>340</v>
      </c>
      <c r="AB69" s="15">
        <v>15</v>
      </c>
      <c r="AC69" s="15">
        <v>0</v>
      </c>
      <c r="AD69" s="16">
        <v>14</v>
      </c>
    </row>
    <row r="70" spans="1:30" ht="15" customHeight="1" x14ac:dyDescent="0.25">
      <c r="A70" s="13">
        <v>69</v>
      </c>
      <c r="B70" s="14">
        <v>78.5</v>
      </c>
      <c r="C70" s="15">
        <v>5</v>
      </c>
      <c r="D70" s="15">
        <v>0</v>
      </c>
      <c r="E70" s="15">
        <v>0</v>
      </c>
      <c r="F70" s="15">
        <v>9.5</v>
      </c>
      <c r="G70" s="15">
        <v>0.5</v>
      </c>
      <c r="H70" s="15">
        <v>2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1.9</v>
      </c>
      <c r="S70" s="15">
        <v>0</v>
      </c>
      <c r="T70" s="15">
        <v>0</v>
      </c>
      <c r="U70" s="15">
        <v>0</v>
      </c>
      <c r="V70" s="16">
        <v>0</v>
      </c>
      <c r="W70" s="14">
        <v>7.7</v>
      </c>
      <c r="X70" s="15">
        <v>221</v>
      </c>
      <c r="Y70" s="15">
        <v>335</v>
      </c>
      <c r="Z70" s="15">
        <v>1047</v>
      </c>
      <c r="AA70" s="15">
        <v>109</v>
      </c>
      <c r="AB70" s="15">
        <v>17</v>
      </c>
      <c r="AC70" s="15">
        <v>14.4</v>
      </c>
      <c r="AD70" s="16">
        <v>14.1</v>
      </c>
    </row>
    <row r="71" spans="1:30" ht="15" customHeight="1" x14ac:dyDescent="0.25">
      <c r="A71" s="13">
        <v>70</v>
      </c>
      <c r="B71" s="14">
        <v>68.25</v>
      </c>
      <c r="C71" s="15">
        <v>20</v>
      </c>
      <c r="D71" s="15">
        <v>0</v>
      </c>
      <c r="E71" s="15">
        <v>0</v>
      </c>
      <c r="F71" s="15">
        <v>4.5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2.5</v>
      </c>
      <c r="N71" s="15">
        <v>1.25</v>
      </c>
      <c r="O71" s="15">
        <v>0</v>
      </c>
      <c r="P71" s="15">
        <v>0</v>
      </c>
      <c r="Q71" s="15">
        <v>1.5</v>
      </c>
      <c r="R71" s="15">
        <v>0</v>
      </c>
      <c r="S71" s="15">
        <v>0</v>
      </c>
      <c r="T71" s="15">
        <v>0</v>
      </c>
      <c r="U71" s="15">
        <v>0</v>
      </c>
      <c r="V71" s="16">
        <v>2</v>
      </c>
      <c r="W71" s="14">
        <v>0</v>
      </c>
      <c r="X71" s="15">
        <v>0</v>
      </c>
      <c r="Y71" s="15">
        <v>158</v>
      </c>
      <c r="Z71" s="15">
        <v>0</v>
      </c>
      <c r="AA71" s="15">
        <v>345.5</v>
      </c>
      <c r="AB71" s="15">
        <v>13</v>
      </c>
      <c r="AC71" s="15">
        <v>0</v>
      </c>
      <c r="AD71" s="16">
        <v>0</v>
      </c>
    </row>
    <row r="72" spans="1:30" ht="15" customHeight="1" x14ac:dyDescent="0.25">
      <c r="A72" s="13">
        <v>71</v>
      </c>
      <c r="B72" s="14">
        <v>61</v>
      </c>
      <c r="C72" s="15">
        <v>24.9</v>
      </c>
      <c r="D72" s="15">
        <v>0</v>
      </c>
      <c r="E72" s="15">
        <v>0</v>
      </c>
      <c r="F72" s="15">
        <v>10.5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1.7</v>
      </c>
      <c r="N72" s="15">
        <v>1.2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6">
        <v>0</v>
      </c>
      <c r="W72" s="14">
        <v>8.3000000000000007</v>
      </c>
      <c r="X72" s="15">
        <v>0</v>
      </c>
      <c r="Y72" s="15">
        <v>220</v>
      </c>
      <c r="Z72" s="15">
        <v>665</v>
      </c>
      <c r="AA72" s="15">
        <v>482</v>
      </c>
      <c r="AB72" s="15">
        <v>5.03</v>
      </c>
      <c r="AC72" s="15">
        <v>13.9</v>
      </c>
      <c r="AD72" s="16">
        <v>0</v>
      </c>
    </row>
    <row r="73" spans="1:30" ht="15" customHeight="1" x14ac:dyDescent="0.25">
      <c r="A73" s="13">
        <v>72</v>
      </c>
      <c r="B73" s="14">
        <v>67</v>
      </c>
      <c r="C73" s="15">
        <v>24</v>
      </c>
      <c r="D73" s="15">
        <v>0</v>
      </c>
      <c r="E73" s="15">
        <v>0</v>
      </c>
      <c r="F73" s="15">
        <v>10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6">
        <v>0</v>
      </c>
      <c r="W73" s="14">
        <v>8.3000000000000007</v>
      </c>
      <c r="X73" s="15">
        <v>190</v>
      </c>
      <c r="Y73" s="15">
        <v>188</v>
      </c>
      <c r="Z73" s="15">
        <v>555</v>
      </c>
      <c r="AA73" s="15">
        <v>360</v>
      </c>
      <c r="AB73" s="15">
        <v>9</v>
      </c>
      <c r="AC73" s="15">
        <v>0</v>
      </c>
      <c r="AD73" s="16">
        <v>13.7</v>
      </c>
    </row>
    <row r="74" spans="1:30" ht="15" customHeight="1" x14ac:dyDescent="0.25">
      <c r="A74" s="13">
        <v>73</v>
      </c>
      <c r="B74" s="14">
        <v>71.7</v>
      </c>
      <c r="C74" s="15">
        <v>14</v>
      </c>
      <c r="D74" s="15">
        <v>0</v>
      </c>
      <c r="E74" s="15">
        <v>0</v>
      </c>
      <c r="F74" s="15">
        <v>9</v>
      </c>
      <c r="G74" s="15">
        <v>0</v>
      </c>
      <c r="H74" s="15">
        <v>2.5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1.8</v>
      </c>
      <c r="S74" s="15">
        <v>0</v>
      </c>
      <c r="T74" s="15">
        <v>0</v>
      </c>
      <c r="U74" s="15">
        <v>0</v>
      </c>
      <c r="V74" s="16">
        <v>0</v>
      </c>
      <c r="W74" s="14">
        <v>7.75</v>
      </c>
      <c r="X74" s="15">
        <v>0</v>
      </c>
      <c r="Y74" s="15">
        <v>380</v>
      </c>
      <c r="Z74" s="15">
        <v>872.5</v>
      </c>
      <c r="AA74" s="15">
        <v>593.29999999999995</v>
      </c>
      <c r="AB74" s="15">
        <v>10</v>
      </c>
      <c r="AC74" s="15">
        <v>14.183999999999999</v>
      </c>
      <c r="AD74" s="16">
        <v>13.9</v>
      </c>
    </row>
    <row r="75" spans="1:30" ht="15" customHeight="1" x14ac:dyDescent="0.25">
      <c r="A75" s="13">
        <v>74</v>
      </c>
      <c r="B75" s="14">
        <v>74.7</v>
      </c>
      <c r="C75" s="15">
        <v>14</v>
      </c>
      <c r="D75" s="15">
        <v>0</v>
      </c>
      <c r="E75" s="15">
        <v>0</v>
      </c>
      <c r="F75" s="15">
        <v>6</v>
      </c>
      <c r="G75" s="15">
        <v>0</v>
      </c>
      <c r="H75" s="15">
        <v>2.5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1.8</v>
      </c>
      <c r="S75" s="15">
        <v>0</v>
      </c>
      <c r="T75" s="15">
        <v>0</v>
      </c>
      <c r="U75" s="15">
        <v>0</v>
      </c>
      <c r="V75" s="16">
        <v>0</v>
      </c>
      <c r="W75" s="14">
        <v>7.75</v>
      </c>
      <c r="X75" s="15">
        <v>0</v>
      </c>
      <c r="Y75" s="15">
        <v>360</v>
      </c>
      <c r="Z75" s="15">
        <v>1135</v>
      </c>
      <c r="AA75" s="15">
        <v>800</v>
      </c>
      <c r="AB75" s="15">
        <v>15</v>
      </c>
      <c r="AC75" s="15">
        <v>14.3</v>
      </c>
      <c r="AD75" s="16">
        <v>14.06</v>
      </c>
    </row>
    <row r="76" spans="1:30" ht="15" customHeight="1" x14ac:dyDescent="0.25">
      <c r="A76" s="13">
        <v>75</v>
      </c>
      <c r="B76" s="14">
        <v>77.900000000000006</v>
      </c>
      <c r="C76" s="15">
        <v>13</v>
      </c>
      <c r="D76" s="15">
        <v>0</v>
      </c>
      <c r="E76" s="15">
        <v>0</v>
      </c>
      <c r="F76" s="15">
        <v>5</v>
      </c>
      <c r="G76" s="15">
        <v>0</v>
      </c>
      <c r="H76" s="15">
        <v>2</v>
      </c>
      <c r="I76" s="15">
        <v>0.3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1.8</v>
      </c>
      <c r="S76" s="15">
        <v>0</v>
      </c>
      <c r="T76" s="15">
        <v>0</v>
      </c>
      <c r="U76" s="15">
        <v>0</v>
      </c>
      <c r="V76" s="16">
        <v>0</v>
      </c>
      <c r="W76" s="14">
        <v>7.9</v>
      </c>
      <c r="X76" s="15">
        <v>0</v>
      </c>
      <c r="Y76" s="15">
        <v>210</v>
      </c>
      <c r="Z76" s="15">
        <v>0</v>
      </c>
      <c r="AA76" s="15">
        <v>0</v>
      </c>
      <c r="AB76" s="15">
        <v>12</v>
      </c>
      <c r="AC76" s="15">
        <v>14.4</v>
      </c>
      <c r="AD76" s="16">
        <v>0</v>
      </c>
    </row>
    <row r="77" spans="1:30" ht="15" customHeight="1" x14ac:dyDescent="0.25">
      <c r="A77" s="13">
        <v>76</v>
      </c>
      <c r="B77" s="14">
        <v>65.5</v>
      </c>
      <c r="C77" s="15">
        <v>19</v>
      </c>
      <c r="D77" s="15">
        <v>0</v>
      </c>
      <c r="E77" s="15">
        <v>0</v>
      </c>
      <c r="F77" s="15">
        <v>8</v>
      </c>
      <c r="G77" s="15">
        <v>0</v>
      </c>
      <c r="H77" s="15">
        <v>1</v>
      </c>
      <c r="I77" s="15">
        <v>0</v>
      </c>
      <c r="J77" s="15">
        <v>0</v>
      </c>
      <c r="K77" s="15">
        <v>0</v>
      </c>
      <c r="L77" s="15">
        <v>1</v>
      </c>
      <c r="M77" s="15">
        <v>2</v>
      </c>
      <c r="N77" s="15">
        <v>0</v>
      </c>
      <c r="O77" s="15">
        <v>1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6">
        <v>4</v>
      </c>
      <c r="W77" s="14">
        <v>8.5</v>
      </c>
      <c r="X77" s="15">
        <v>0</v>
      </c>
      <c r="Y77" s="15">
        <v>340</v>
      </c>
      <c r="Z77" s="15">
        <v>535</v>
      </c>
      <c r="AA77" s="15">
        <v>455</v>
      </c>
      <c r="AB77" s="15">
        <v>12</v>
      </c>
      <c r="AC77" s="15">
        <v>15.3</v>
      </c>
      <c r="AD77" s="16">
        <v>0</v>
      </c>
    </row>
    <row r="78" spans="1:30" ht="15" customHeight="1" x14ac:dyDescent="0.25">
      <c r="A78" s="13">
        <v>77</v>
      </c>
      <c r="B78" s="14">
        <v>65.7</v>
      </c>
      <c r="C78" s="15">
        <v>19</v>
      </c>
      <c r="D78" s="15">
        <v>0</v>
      </c>
      <c r="E78" s="15">
        <v>0</v>
      </c>
      <c r="F78" s="15">
        <v>8</v>
      </c>
      <c r="G78" s="15">
        <v>0</v>
      </c>
      <c r="H78" s="15">
        <v>0</v>
      </c>
      <c r="I78" s="15">
        <v>1</v>
      </c>
      <c r="J78" s="15">
        <v>0</v>
      </c>
      <c r="K78" s="15">
        <v>0</v>
      </c>
      <c r="L78" s="15">
        <v>0</v>
      </c>
      <c r="M78" s="15">
        <v>2</v>
      </c>
      <c r="N78" s="15">
        <v>0</v>
      </c>
      <c r="O78" s="15">
        <v>1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6">
        <v>4</v>
      </c>
      <c r="W78" s="14">
        <v>8.4</v>
      </c>
      <c r="X78" s="15">
        <v>0</v>
      </c>
      <c r="Y78" s="15">
        <v>332</v>
      </c>
      <c r="Z78" s="15">
        <v>540</v>
      </c>
      <c r="AA78" s="15">
        <v>455</v>
      </c>
      <c r="AB78" s="15">
        <v>10</v>
      </c>
      <c r="AC78" s="15">
        <v>15</v>
      </c>
      <c r="AD78" s="16">
        <v>0</v>
      </c>
    </row>
    <row r="79" spans="1:30" ht="15" customHeight="1" x14ac:dyDescent="0.25">
      <c r="A79" s="13">
        <v>78</v>
      </c>
      <c r="B79" s="14">
        <v>78</v>
      </c>
      <c r="C79" s="15">
        <v>14.5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5</v>
      </c>
      <c r="K79" s="15">
        <v>0</v>
      </c>
      <c r="L79" s="15">
        <v>0</v>
      </c>
      <c r="M79" s="15">
        <v>1</v>
      </c>
      <c r="N79" s="15">
        <v>0</v>
      </c>
      <c r="O79" s="15">
        <v>0</v>
      </c>
      <c r="P79" s="15">
        <v>0</v>
      </c>
      <c r="Q79" s="15">
        <v>0</v>
      </c>
      <c r="R79" s="15">
        <v>1</v>
      </c>
      <c r="S79" s="15">
        <v>0</v>
      </c>
      <c r="T79" s="15">
        <v>0</v>
      </c>
      <c r="U79" s="15">
        <v>0</v>
      </c>
      <c r="V79" s="16">
        <v>0</v>
      </c>
      <c r="W79" s="14">
        <v>7.7</v>
      </c>
      <c r="X79" s="15">
        <v>0</v>
      </c>
      <c r="Y79" s="15">
        <v>357</v>
      </c>
      <c r="Z79" s="15">
        <v>720</v>
      </c>
      <c r="AA79" s="15">
        <v>645</v>
      </c>
      <c r="AB79" s="15">
        <v>7</v>
      </c>
      <c r="AC79" s="15">
        <v>14.8</v>
      </c>
      <c r="AD79" s="16">
        <v>0</v>
      </c>
    </row>
    <row r="80" spans="1:30" ht="15" customHeight="1" x14ac:dyDescent="0.25">
      <c r="A80" s="13">
        <v>79</v>
      </c>
      <c r="B80" s="14">
        <v>61.5</v>
      </c>
      <c r="C80" s="15">
        <v>24.5</v>
      </c>
      <c r="D80" s="15">
        <v>0</v>
      </c>
      <c r="E80" s="15">
        <v>0</v>
      </c>
      <c r="F80" s="15">
        <v>11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1.5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6">
        <v>0</v>
      </c>
      <c r="W80" s="14">
        <v>8.1999999999999993</v>
      </c>
      <c r="X80" s="15">
        <v>200</v>
      </c>
      <c r="Y80" s="15">
        <v>210</v>
      </c>
      <c r="Z80" s="15">
        <v>720</v>
      </c>
      <c r="AA80" s="15">
        <v>540</v>
      </c>
      <c r="AB80" s="15">
        <v>4.8</v>
      </c>
      <c r="AC80" s="15">
        <v>0</v>
      </c>
      <c r="AD80" s="16">
        <v>14.3</v>
      </c>
    </row>
    <row r="81" spans="1:30" ht="15" customHeight="1" x14ac:dyDescent="0.25">
      <c r="A81" s="13">
        <v>80</v>
      </c>
      <c r="B81" s="14">
        <v>65.7</v>
      </c>
      <c r="C81" s="15">
        <v>19</v>
      </c>
      <c r="D81" s="15">
        <v>0</v>
      </c>
      <c r="E81" s="15">
        <v>0</v>
      </c>
      <c r="F81" s="15">
        <v>8</v>
      </c>
      <c r="G81" s="15">
        <v>0</v>
      </c>
      <c r="H81" s="15">
        <v>0</v>
      </c>
      <c r="I81" s="15">
        <v>1</v>
      </c>
      <c r="J81" s="15">
        <v>0</v>
      </c>
      <c r="K81" s="15">
        <v>0</v>
      </c>
      <c r="L81" s="15">
        <v>0</v>
      </c>
      <c r="M81" s="15">
        <v>2</v>
      </c>
      <c r="N81" s="15">
        <v>0</v>
      </c>
      <c r="O81" s="15">
        <v>1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6">
        <v>4</v>
      </c>
      <c r="W81" s="14">
        <v>8.4</v>
      </c>
      <c r="X81" s="15">
        <v>0</v>
      </c>
      <c r="Y81" s="15">
        <v>332</v>
      </c>
      <c r="Z81" s="15">
        <v>540</v>
      </c>
      <c r="AA81" s="15">
        <v>455</v>
      </c>
      <c r="AB81" s="15">
        <v>10</v>
      </c>
      <c r="AC81" s="15">
        <v>0</v>
      </c>
      <c r="AD81" s="16">
        <v>0</v>
      </c>
    </row>
    <row r="82" spans="1:30" ht="15" customHeight="1" x14ac:dyDescent="0.25">
      <c r="A82" s="13">
        <v>81</v>
      </c>
      <c r="B82" s="14">
        <v>78</v>
      </c>
      <c r="C82" s="15">
        <v>14.5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5</v>
      </c>
      <c r="K82" s="15">
        <v>0</v>
      </c>
      <c r="L82" s="15">
        <v>0</v>
      </c>
      <c r="M82" s="15">
        <v>1</v>
      </c>
      <c r="N82" s="15">
        <v>0</v>
      </c>
      <c r="O82" s="15">
        <v>0</v>
      </c>
      <c r="P82" s="15">
        <v>0</v>
      </c>
      <c r="Q82" s="15">
        <v>0</v>
      </c>
      <c r="R82" s="15">
        <v>1</v>
      </c>
      <c r="S82" s="15">
        <v>0</v>
      </c>
      <c r="T82" s="15">
        <v>0</v>
      </c>
      <c r="U82" s="15">
        <v>0</v>
      </c>
      <c r="V82" s="16">
        <v>0</v>
      </c>
      <c r="W82" s="14">
        <v>7.7</v>
      </c>
      <c r="X82" s="15">
        <v>0</v>
      </c>
      <c r="Y82" s="15">
        <v>357</v>
      </c>
      <c r="Z82" s="15">
        <v>720</v>
      </c>
      <c r="AA82" s="15">
        <v>645</v>
      </c>
      <c r="AB82" s="15">
        <v>7</v>
      </c>
      <c r="AC82" s="15">
        <v>0</v>
      </c>
      <c r="AD82" s="16">
        <v>0</v>
      </c>
    </row>
    <row r="83" spans="1:30" ht="15" customHeight="1" x14ac:dyDescent="0.25">
      <c r="A83" s="13">
        <v>82</v>
      </c>
      <c r="B83" s="14">
        <v>70</v>
      </c>
      <c r="C83" s="15">
        <v>19.5</v>
      </c>
      <c r="D83" s="15">
        <v>0</v>
      </c>
      <c r="E83" s="15">
        <v>0</v>
      </c>
      <c r="F83" s="15">
        <v>6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1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6">
        <v>3</v>
      </c>
      <c r="W83" s="14">
        <v>8.4</v>
      </c>
      <c r="X83" s="15">
        <v>0</v>
      </c>
      <c r="Y83" s="15">
        <v>292</v>
      </c>
      <c r="Z83" s="15">
        <v>490</v>
      </c>
      <c r="AA83" s="15">
        <v>385</v>
      </c>
      <c r="AB83" s="15">
        <v>17</v>
      </c>
      <c r="AC83" s="15">
        <v>0</v>
      </c>
      <c r="AD83" s="16">
        <v>0</v>
      </c>
    </row>
    <row r="84" spans="1:30" ht="15" customHeight="1" x14ac:dyDescent="0.25">
      <c r="A84" s="13">
        <v>83</v>
      </c>
      <c r="B84" s="14">
        <v>70</v>
      </c>
      <c r="C84" s="15">
        <v>19.5</v>
      </c>
      <c r="D84" s="15">
        <v>0</v>
      </c>
      <c r="E84" s="15">
        <v>0</v>
      </c>
      <c r="F84" s="15">
        <v>6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1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6">
        <v>3</v>
      </c>
      <c r="W84" s="14">
        <v>8.4</v>
      </c>
      <c r="X84" s="15">
        <v>0</v>
      </c>
      <c r="Y84" s="15">
        <v>292</v>
      </c>
      <c r="Z84" s="15">
        <v>490</v>
      </c>
      <c r="AA84" s="15">
        <v>385</v>
      </c>
      <c r="AB84" s="15">
        <v>17</v>
      </c>
      <c r="AC84" s="15">
        <v>0</v>
      </c>
      <c r="AD84" s="16">
        <v>0</v>
      </c>
    </row>
    <row r="85" spans="1:30" ht="15" customHeight="1" x14ac:dyDescent="0.25">
      <c r="A85" s="13">
        <v>84</v>
      </c>
      <c r="B85" s="14">
        <v>72</v>
      </c>
      <c r="C85" s="15">
        <v>12</v>
      </c>
      <c r="D85" s="15">
        <v>3</v>
      </c>
      <c r="E85" s="15">
        <v>0</v>
      </c>
      <c r="F85" s="15">
        <v>9</v>
      </c>
      <c r="G85" s="15">
        <v>2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6">
        <v>0</v>
      </c>
      <c r="W85" s="14">
        <v>7.9</v>
      </c>
      <c r="X85" s="15">
        <v>160.54</v>
      </c>
      <c r="Y85" s="15">
        <v>220</v>
      </c>
      <c r="Z85" s="15">
        <v>0</v>
      </c>
      <c r="AA85" s="15">
        <v>523.5</v>
      </c>
      <c r="AB85" s="15">
        <v>11</v>
      </c>
      <c r="AC85" s="15">
        <f>(14.1-12.7)/2+12.7</f>
        <v>13.399999999999999</v>
      </c>
      <c r="AD85" s="16">
        <v>0</v>
      </c>
    </row>
    <row r="86" spans="1:30" ht="15" customHeight="1" x14ac:dyDescent="0.25">
      <c r="A86" s="13">
        <v>85</v>
      </c>
      <c r="B86" s="14">
        <v>59.6</v>
      </c>
      <c r="C86" s="15">
        <v>24</v>
      </c>
      <c r="D86" s="15">
        <v>0</v>
      </c>
      <c r="E86" s="15">
        <v>0</v>
      </c>
      <c r="F86" s="15">
        <v>9.8000000000000007</v>
      </c>
      <c r="G86" s="15">
        <v>0</v>
      </c>
      <c r="H86" s="15">
        <v>0</v>
      </c>
      <c r="I86" s="15">
        <v>0</v>
      </c>
      <c r="J86" s="15">
        <v>0</v>
      </c>
      <c r="K86" s="15">
        <v>1.5</v>
      </c>
      <c r="L86" s="15">
        <v>1.1000000000000001</v>
      </c>
      <c r="M86" s="15">
        <v>1.1000000000000001</v>
      </c>
      <c r="N86" s="15">
        <v>1.4</v>
      </c>
      <c r="O86" s="15">
        <v>1.6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6">
        <v>0</v>
      </c>
      <c r="W86" s="14">
        <v>8.1999999999999993</v>
      </c>
      <c r="X86" s="15">
        <v>205</v>
      </c>
      <c r="Y86" s="15">
        <v>195</v>
      </c>
      <c r="Z86" s="15">
        <v>0</v>
      </c>
      <c r="AA86" s="15">
        <v>405</v>
      </c>
      <c r="AB86" s="15">
        <v>22</v>
      </c>
      <c r="AC86" s="15">
        <v>14.2</v>
      </c>
      <c r="AD86" s="16">
        <v>14</v>
      </c>
    </row>
    <row r="87" spans="1:30" ht="15" customHeight="1" x14ac:dyDescent="0.25">
      <c r="A87" s="13">
        <v>86</v>
      </c>
      <c r="B87" s="14">
        <v>45</v>
      </c>
      <c r="C87" s="15">
        <v>25</v>
      </c>
      <c r="D87" s="15">
        <v>15</v>
      </c>
      <c r="E87" s="15">
        <v>10</v>
      </c>
      <c r="F87" s="15">
        <v>20</v>
      </c>
      <c r="G87" s="15">
        <v>5</v>
      </c>
      <c r="H87" s="15">
        <v>5</v>
      </c>
      <c r="I87" s="15">
        <v>2.5</v>
      </c>
      <c r="J87" s="15">
        <v>0.5</v>
      </c>
      <c r="K87" s="15">
        <v>5</v>
      </c>
      <c r="L87" s="15">
        <v>2.5</v>
      </c>
      <c r="M87" s="15">
        <v>2.5</v>
      </c>
      <c r="N87" s="15">
        <v>2.5</v>
      </c>
      <c r="O87" s="15">
        <v>20</v>
      </c>
      <c r="P87" s="15">
        <v>0</v>
      </c>
      <c r="Q87" s="15">
        <v>15</v>
      </c>
      <c r="R87" s="15">
        <v>1</v>
      </c>
      <c r="S87" s="15">
        <v>0.5</v>
      </c>
      <c r="T87" s="15">
        <v>0.5</v>
      </c>
      <c r="U87" s="15">
        <v>0.5</v>
      </c>
      <c r="V87" s="16">
        <v>0</v>
      </c>
      <c r="W87" s="14">
        <v>8.4</v>
      </c>
      <c r="X87" s="15">
        <v>0</v>
      </c>
      <c r="Y87" s="15">
        <v>245</v>
      </c>
      <c r="Z87" s="15">
        <v>1081.9000000000001</v>
      </c>
      <c r="AA87" s="15">
        <v>645.65</v>
      </c>
      <c r="AB87" s="15">
        <v>12</v>
      </c>
      <c r="AC87" s="15">
        <v>0</v>
      </c>
      <c r="AD87" s="16">
        <v>13.5</v>
      </c>
    </row>
    <row r="88" spans="1:30" ht="15" customHeight="1" x14ac:dyDescent="0.25">
      <c r="A88" s="13">
        <v>87</v>
      </c>
      <c r="B88" s="14">
        <v>67</v>
      </c>
      <c r="C88" s="15">
        <v>24</v>
      </c>
      <c r="D88" s="15">
        <v>0</v>
      </c>
      <c r="E88" s="15">
        <v>0</v>
      </c>
      <c r="F88" s="15">
        <v>10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6">
        <v>0</v>
      </c>
      <c r="W88" s="14">
        <v>8.1999999999999993</v>
      </c>
      <c r="X88" s="15">
        <v>190</v>
      </c>
      <c r="Y88" s="15">
        <v>188</v>
      </c>
      <c r="Z88" s="15">
        <v>555</v>
      </c>
      <c r="AA88" s="15">
        <v>360</v>
      </c>
      <c r="AB88" s="15">
        <v>8.9</v>
      </c>
      <c r="AC88" s="15">
        <v>14.1</v>
      </c>
      <c r="AD88" s="16">
        <v>0</v>
      </c>
    </row>
    <row r="89" spans="1:30" ht="15" customHeight="1" x14ac:dyDescent="0.25">
      <c r="A89" s="13">
        <v>88</v>
      </c>
      <c r="B89" s="14">
        <v>75.400000000000006</v>
      </c>
      <c r="C89" s="15">
        <v>12.6</v>
      </c>
      <c r="D89" s="15">
        <v>0</v>
      </c>
      <c r="E89" s="15">
        <v>0</v>
      </c>
      <c r="F89" s="15">
        <v>8</v>
      </c>
      <c r="G89" s="15">
        <v>0</v>
      </c>
      <c r="H89" s="15">
        <v>3.3</v>
      </c>
      <c r="I89" s="15">
        <v>0</v>
      </c>
      <c r="J89" s="15">
        <v>0</v>
      </c>
      <c r="K89" s="15">
        <v>0</v>
      </c>
      <c r="L89" s="15">
        <v>0</v>
      </c>
      <c r="M89" s="15">
        <v>0.5</v>
      </c>
      <c r="N89" s="15">
        <v>0</v>
      </c>
      <c r="O89" s="15">
        <v>0.5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6">
        <v>0</v>
      </c>
      <c r="W89" s="14">
        <v>8.1</v>
      </c>
      <c r="X89" s="15">
        <v>170</v>
      </c>
      <c r="Y89" s="15">
        <v>180</v>
      </c>
      <c r="Z89" s="15">
        <v>0</v>
      </c>
      <c r="AA89" s="15">
        <v>310</v>
      </c>
      <c r="AB89" s="15">
        <v>34</v>
      </c>
      <c r="AC89" s="15">
        <v>14.8</v>
      </c>
      <c r="AD89" s="16">
        <v>14.7</v>
      </c>
    </row>
    <row r="90" spans="1:30" ht="15" customHeight="1" x14ac:dyDescent="0.25">
      <c r="A90" s="13">
        <v>89</v>
      </c>
      <c r="B90" s="14">
        <v>58.7</v>
      </c>
      <c r="C90" s="15">
        <v>25</v>
      </c>
      <c r="D90" s="15">
        <v>0.1</v>
      </c>
      <c r="E90" s="15">
        <v>0</v>
      </c>
      <c r="F90" s="15">
        <v>12.1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1.7</v>
      </c>
      <c r="N90" s="15">
        <v>0</v>
      </c>
      <c r="O90" s="15">
        <v>0</v>
      </c>
      <c r="P90" s="15">
        <v>0.1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6">
        <v>0</v>
      </c>
      <c r="W90" s="14">
        <v>8.3000000000000007</v>
      </c>
      <c r="X90" s="15">
        <v>200</v>
      </c>
      <c r="Y90" s="15">
        <v>230</v>
      </c>
      <c r="Z90" s="15">
        <v>0</v>
      </c>
      <c r="AA90" s="15">
        <v>340</v>
      </c>
      <c r="AB90" s="15">
        <v>13</v>
      </c>
      <c r="AC90" s="15">
        <v>14.2</v>
      </c>
      <c r="AD90" s="16">
        <v>13.9</v>
      </c>
    </row>
    <row r="91" spans="1:30" ht="15" customHeight="1" x14ac:dyDescent="0.25">
      <c r="A91" s="13">
        <v>90</v>
      </c>
      <c r="B91" s="14">
        <v>61.5</v>
      </c>
      <c r="C91" s="15">
        <v>22</v>
      </c>
      <c r="D91" s="15">
        <v>0</v>
      </c>
      <c r="E91" s="15">
        <v>11.2</v>
      </c>
      <c r="F91" s="15">
        <v>0</v>
      </c>
      <c r="G91" s="15">
        <v>2.2999999999999998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2.6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6">
        <v>0</v>
      </c>
      <c r="W91" s="14">
        <v>8.4</v>
      </c>
      <c r="X91" s="15">
        <v>183</v>
      </c>
      <c r="Y91" s="15">
        <v>280</v>
      </c>
      <c r="Z91" s="15">
        <v>0</v>
      </c>
      <c r="AA91" s="15">
        <v>600</v>
      </c>
      <c r="AB91" s="15">
        <v>10</v>
      </c>
      <c r="AC91" s="15">
        <v>14.4</v>
      </c>
      <c r="AD91" s="16">
        <v>14.1</v>
      </c>
    </row>
    <row r="92" spans="1:30" ht="15" customHeight="1" x14ac:dyDescent="0.25">
      <c r="A92" s="13">
        <v>91</v>
      </c>
      <c r="B92" s="14">
        <v>61.4</v>
      </c>
      <c r="C92" s="15">
        <v>25.7</v>
      </c>
      <c r="D92" s="15">
        <v>0</v>
      </c>
      <c r="E92" s="15">
        <v>0</v>
      </c>
      <c r="F92" s="15">
        <v>11</v>
      </c>
      <c r="G92" s="15">
        <v>0</v>
      </c>
      <c r="H92" s="15">
        <v>0.5</v>
      </c>
      <c r="I92" s="15">
        <v>0.5</v>
      </c>
      <c r="J92" s="15">
        <v>0</v>
      </c>
      <c r="K92" s="15">
        <v>0</v>
      </c>
      <c r="L92" s="15">
        <v>0</v>
      </c>
      <c r="M92" s="15">
        <v>1.5</v>
      </c>
      <c r="N92" s="15">
        <v>0.5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6">
        <v>0</v>
      </c>
      <c r="W92" s="14">
        <v>8.4</v>
      </c>
      <c r="X92" s="15">
        <v>200</v>
      </c>
      <c r="Y92" s="15">
        <v>235</v>
      </c>
      <c r="Z92" s="15">
        <v>0</v>
      </c>
      <c r="AA92" s="15">
        <v>375</v>
      </c>
      <c r="AB92" s="15">
        <v>12</v>
      </c>
      <c r="AC92" s="15">
        <v>14.1</v>
      </c>
      <c r="AD92" s="16">
        <v>13.8</v>
      </c>
    </row>
    <row r="93" spans="1:30" ht="15" customHeight="1" x14ac:dyDescent="0.25">
      <c r="A93" s="13">
        <v>92</v>
      </c>
      <c r="B93" s="14">
        <v>65.5</v>
      </c>
      <c r="C93" s="15">
        <v>21</v>
      </c>
      <c r="D93" s="15">
        <v>0</v>
      </c>
      <c r="E93" s="15">
        <v>0</v>
      </c>
      <c r="F93" s="15">
        <v>6.1</v>
      </c>
      <c r="G93" s="15">
        <v>0</v>
      </c>
      <c r="H93" s="15">
        <v>0</v>
      </c>
      <c r="I93" s="15">
        <v>0.5</v>
      </c>
      <c r="J93" s="15">
        <v>0</v>
      </c>
      <c r="K93" s="15">
        <v>0</v>
      </c>
      <c r="L93" s="15">
        <v>0</v>
      </c>
      <c r="M93" s="15">
        <v>3.8</v>
      </c>
      <c r="N93" s="15">
        <v>0.5</v>
      </c>
      <c r="O93" s="15">
        <v>3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6">
        <v>0</v>
      </c>
      <c r="W93" s="14">
        <v>8.1</v>
      </c>
      <c r="X93" s="15">
        <v>169.3</v>
      </c>
      <c r="Y93" s="15">
        <v>315</v>
      </c>
      <c r="Z93" s="15">
        <v>640</v>
      </c>
      <c r="AA93" s="15">
        <v>450</v>
      </c>
      <c r="AB93" s="15">
        <v>4</v>
      </c>
      <c r="AC93" s="15">
        <v>8</v>
      </c>
      <c r="AD93" s="16">
        <v>0</v>
      </c>
    </row>
    <row r="94" spans="1:30" ht="15" customHeight="1" x14ac:dyDescent="0.25">
      <c r="A94" s="13">
        <v>93</v>
      </c>
      <c r="B94" s="14">
        <v>76</v>
      </c>
      <c r="C94" s="15">
        <v>14</v>
      </c>
      <c r="D94" s="15">
        <v>0</v>
      </c>
      <c r="E94" s="15">
        <v>0</v>
      </c>
      <c r="F94" s="15">
        <v>6</v>
      </c>
      <c r="G94" s="15">
        <v>0</v>
      </c>
      <c r="H94" s="15">
        <v>2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1.8</v>
      </c>
      <c r="S94" s="15">
        <v>0</v>
      </c>
      <c r="T94" s="15">
        <v>0</v>
      </c>
      <c r="U94" s="15">
        <v>0</v>
      </c>
      <c r="V94" s="16">
        <v>0</v>
      </c>
      <c r="W94" s="14">
        <v>7.8</v>
      </c>
      <c r="X94" s="15">
        <v>192</v>
      </c>
      <c r="Y94" s="15">
        <v>240</v>
      </c>
      <c r="Z94" s="15">
        <v>1138</v>
      </c>
      <c r="AA94" s="15">
        <v>0</v>
      </c>
      <c r="AB94" s="15">
        <v>13.5</v>
      </c>
      <c r="AC94" s="15">
        <v>14.4</v>
      </c>
      <c r="AD94" s="16">
        <v>14</v>
      </c>
    </row>
    <row r="95" spans="1:30" ht="15" customHeight="1" x14ac:dyDescent="0.25">
      <c r="A95" s="13">
        <v>94</v>
      </c>
      <c r="B95" s="14">
        <v>54</v>
      </c>
      <c r="C95" s="15">
        <v>22</v>
      </c>
      <c r="D95" s="15">
        <v>0</v>
      </c>
      <c r="E95" s="15">
        <v>0</v>
      </c>
      <c r="F95" s="15">
        <v>9</v>
      </c>
      <c r="G95" s="15">
        <v>0</v>
      </c>
      <c r="H95" s="15">
        <v>0</v>
      </c>
      <c r="I95" s="15">
        <v>0</v>
      </c>
      <c r="J95" s="15">
        <v>0</v>
      </c>
      <c r="K95" s="15">
        <v>4</v>
      </c>
      <c r="L95" s="15">
        <v>4</v>
      </c>
      <c r="M95" s="15">
        <v>0</v>
      </c>
      <c r="N95" s="15">
        <v>0</v>
      </c>
      <c r="O95" s="15">
        <v>4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6">
        <v>0</v>
      </c>
      <c r="W95" s="14">
        <v>8.6</v>
      </c>
      <c r="X95" s="15">
        <v>0</v>
      </c>
      <c r="Y95" s="15">
        <v>240</v>
      </c>
      <c r="Z95" s="15">
        <v>580</v>
      </c>
      <c r="AA95" s="15">
        <v>0</v>
      </c>
      <c r="AB95" s="15">
        <v>6.5</v>
      </c>
      <c r="AC95" s="15">
        <v>14.4</v>
      </c>
      <c r="AD95" s="16">
        <v>14.1</v>
      </c>
    </row>
    <row r="96" spans="1:30" ht="15" customHeight="1" x14ac:dyDescent="0.25">
      <c r="A96" s="13">
        <v>95</v>
      </c>
      <c r="B96" s="14">
        <v>72</v>
      </c>
      <c r="C96" s="15">
        <v>15</v>
      </c>
      <c r="D96" s="15">
        <v>0</v>
      </c>
      <c r="E96" s="15">
        <v>0</v>
      </c>
      <c r="F96" s="15">
        <v>9</v>
      </c>
      <c r="G96" s="15">
        <v>0</v>
      </c>
      <c r="H96" s="15">
        <v>2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1.8</v>
      </c>
      <c r="S96" s="15">
        <v>0</v>
      </c>
      <c r="T96" s="15">
        <v>0</v>
      </c>
      <c r="U96" s="15">
        <v>0</v>
      </c>
      <c r="V96" s="16">
        <v>0</v>
      </c>
      <c r="W96" s="14">
        <v>7.8</v>
      </c>
      <c r="X96" s="15">
        <v>0</v>
      </c>
      <c r="Y96" s="15">
        <v>200</v>
      </c>
      <c r="Z96" s="15">
        <v>895</v>
      </c>
      <c r="AA96" s="15">
        <v>0</v>
      </c>
      <c r="AB96" s="15">
        <v>10.5</v>
      </c>
      <c r="AC96" s="15">
        <v>14</v>
      </c>
      <c r="AD96" s="16">
        <v>13.6</v>
      </c>
    </row>
    <row r="97" spans="1:30" ht="15" customHeight="1" x14ac:dyDescent="0.25">
      <c r="A97" s="13">
        <v>96</v>
      </c>
      <c r="B97" s="14">
        <v>77</v>
      </c>
      <c r="C97" s="15">
        <v>14</v>
      </c>
      <c r="D97" s="15">
        <v>0</v>
      </c>
      <c r="E97" s="15">
        <v>0</v>
      </c>
      <c r="F97" s="15">
        <v>4.7</v>
      </c>
      <c r="G97" s="15">
        <v>0</v>
      </c>
      <c r="H97" s="15">
        <v>2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1.8</v>
      </c>
      <c r="S97" s="15">
        <v>0</v>
      </c>
      <c r="T97" s="15">
        <v>0</v>
      </c>
      <c r="U97" s="15">
        <v>0</v>
      </c>
      <c r="V97" s="16">
        <v>0</v>
      </c>
      <c r="W97" s="14">
        <v>7.8</v>
      </c>
      <c r="X97" s="15">
        <v>0</v>
      </c>
      <c r="Y97" s="15">
        <v>370</v>
      </c>
      <c r="Z97" s="15">
        <v>937</v>
      </c>
      <c r="AA97" s="15">
        <v>0</v>
      </c>
      <c r="AB97" s="15">
        <v>10</v>
      </c>
      <c r="AC97" s="15">
        <v>14.7</v>
      </c>
      <c r="AD97" s="16">
        <v>14.5</v>
      </c>
    </row>
    <row r="98" spans="1:30" ht="15" customHeight="1" x14ac:dyDescent="0.25">
      <c r="A98" s="13">
        <v>97</v>
      </c>
      <c r="B98" s="14">
        <v>54</v>
      </c>
      <c r="C98" s="15">
        <v>23</v>
      </c>
      <c r="D98" s="15">
        <v>0</v>
      </c>
      <c r="E98" s="15">
        <v>0</v>
      </c>
      <c r="F98" s="15">
        <v>9</v>
      </c>
      <c r="G98" s="15">
        <v>0</v>
      </c>
      <c r="H98" s="15">
        <v>0</v>
      </c>
      <c r="I98" s="15">
        <v>0</v>
      </c>
      <c r="J98" s="15">
        <v>0</v>
      </c>
      <c r="K98" s="15">
        <v>5</v>
      </c>
      <c r="L98" s="15">
        <v>4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6">
        <v>0</v>
      </c>
      <c r="W98" s="14">
        <v>8.4</v>
      </c>
      <c r="X98" s="15">
        <v>0</v>
      </c>
      <c r="Y98" s="15">
        <v>240</v>
      </c>
      <c r="Z98" s="15">
        <v>0</v>
      </c>
      <c r="AA98" s="15">
        <v>0</v>
      </c>
      <c r="AB98" s="15">
        <v>3</v>
      </c>
      <c r="AC98" s="15">
        <v>0</v>
      </c>
      <c r="AD98" s="16">
        <v>13.6</v>
      </c>
    </row>
    <row r="99" spans="1:30" ht="15" customHeight="1" x14ac:dyDescent="0.25">
      <c r="A99" s="13">
        <v>98</v>
      </c>
      <c r="B99" s="14">
        <v>67</v>
      </c>
      <c r="C99" s="15">
        <v>24</v>
      </c>
      <c r="D99" s="15">
        <v>0</v>
      </c>
      <c r="E99" s="15">
        <v>0</v>
      </c>
      <c r="F99" s="15">
        <v>10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6">
        <v>0</v>
      </c>
      <c r="W99" s="14">
        <v>8.3000000000000007</v>
      </c>
      <c r="X99" s="15">
        <v>0</v>
      </c>
      <c r="Y99" s="15">
        <v>188</v>
      </c>
      <c r="Z99" s="15">
        <v>0</v>
      </c>
      <c r="AA99" s="15">
        <v>0</v>
      </c>
      <c r="AB99" s="15">
        <v>9</v>
      </c>
      <c r="AC99" s="15">
        <v>0</v>
      </c>
      <c r="AD99" s="16">
        <v>13.7</v>
      </c>
    </row>
    <row r="100" spans="1:30" ht="15" customHeight="1" x14ac:dyDescent="0.25">
      <c r="A100" s="13">
        <v>99</v>
      </c>
      <c r="B100" s="14">
        <v>62</v>
      </c>
      <c r="C100" s="15">
        <v>6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4</v>
      </c>
      <c r="R100" s="15">
        <v>0</v>
      </c>
      <c r="S100" s="15">
        <v>0</v>
      </c>
      <c r="T100" s="15">
        <v>0</v>
      </c>
      <c r="U100" s="15">
        <v>0</v>
      </c>
      <c r="V100" s="16">
        <v>0</v>
      </c>
      <c r="W100" s="14">
        <v>8</v>
      </c>
      <c r="X100" s="15">
        <v>0</v>
      </c>
      <c r="Y100" s="15">
        <v>260</v>
      </c>
      <c r="Z100" s="15">
        <v>576</v>
      </c>
      <c r="AA100" s="15">
        <v>0</v>
      </c>
      <c r="AB100" s="15">
        <v>2.8</v>
      </c>
      <c r="AC100" s="15">
        <v>0</v>
      </c>
      <c r="AD100" s="16">
        <v>0</v>
      </c>
    </row>
    <row r="101" spans="1:30" ht="15" customHeight="1" x14ac:dyDescent="0.25">
      <c r="A101" s="13">
        <v>100</v>
      </c>
      <c r="B101" s="14">
        <v>72.8</v>
      </c>
      <c r="C101" s="15">
        <v>4.9000000000000004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12.3</v>
      </c>
      <c r="R101" s="15">
        <v>0</v>
      </c>
      <c r="S101" s="15">
        <v>0</v>
      </c>
      <c r="T101" s="15">
        <v>0</v>
      </c>
      <c r="U101" s="15">
        <v>0</v>
      </c>
      <c r="V101" s="16">
        <v>0</v>
      </c>
      <c r="W101" s="14">
        <v>0</v>
      </c>
      <c r="X101" s="15">
        <v>0</v>
      </c>
      <c r="Y101" s="15">
        <v>230</v>
      </c>
      <c r="Z101" s="15">
        <v>637</v>
      </c>
      <c r="AA101" s="15">
        <v>0</v>
      </c>
      <c r="AB101" s="15">
        <v>4</v>
      </c>
      <c r="AC101" s="15">
        <v>0</v>
      </c>
      <c r="AD101" s="16">
        <v>0</v>
      </c>
    </row>
    <row r="102" spans="1:30" ht="15" customHeight="1" x14ac:dyDescent="0.25">
      <c r="A102" s="13">
        <v>101</v>
      </c>
      <c r="B102" s="14">
        <v>59.7</v>
      </c>
      <c r="C102" s="15">
        <v>22</v>
      </c>
      <c r="D102" s="15">
        <v>0</v>
      </c>
      <c r="E102" s="15">
        <v>0</v>
      </c>
      <c r="F102" s="15">
        <v>10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6">
        <v>0</v>
      </c>
      <c r="W102" s="14">
        <v>0</v>
      </c>
      <c r="X102" s="15">
        <v>0</v>
      </c>
      <c r="Y102" s="15">
        <v>310</v>
      </c>
      <c r="Z102" s="15">
        <v>687</v>
      </c>
      <c r="AA102" s="15">
        <v>0</v>
      </c>
      <c r="AB102" s="15">
        <v>1.5</v>
      </c>
      <c r="AC102" s="15">
        <v>0</v>
      </c>
      <c r="AD102" s="16">
        <v>0</v>
      </c>
    </row>
    <row r="103" spans="1:30" ht="15" customHeight="1" x14ac:dyDescent="0.25">
      <c r="A103" s="13">
        <v>102</v>
      </c>
      <c r="B103" s="14">
        <v>81</v>
      </c>
      <c r="C103" s="15">
        <v>11</v>
      </c>
      <c r="D103" s="15">
        <v>0</v>
      </c>
      <c r="E103" s="15">
        <v>0</v>
      </c>
      <c r="F103" s="15">
        <v>5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6">
        <v>0</v>
      </c>
      <c r="W103" s="14">
        <v>0</v>
      </c>
      <c r="X103" s="15">
        <v>0</v>
      </c>
      <c r="Y103" s="15">
        <v>420</v>
      </c>
      <c r="Z103" s="15">
        <v>1000</v>
      </c>
      <c r="AA103" s="15">
        <v>0</v>
      </c>
      <c r="AB103" s="15">
        <v>2</v>
      </c>
      <c r="AC103" s="15">
        <v>0</v>
      </c>
      <c r="AD103" s="16">
        <v>0</v>
      </c>
    </row>
    <row r="104" spans="1:30" ht="15" customHeight="1" x14ac:dyDescent="0.25">
      <c r="A104" s="13">
        <v>103</v>
      </c>
      <c r="B104" s="14">
        <v>61.2</v>
      </c>
      <c r="C104" s="15">
        <v>25.8</v>
      </c>
      <c r="D104" s="15">
        <v>0</v>
      </c>
      <c r="E104" s="15">
        <v>0</v>
      </c>
      <c r="F104" s="15">
        <v>11</v>
      </c>
      <c r="G104" s="15">
        <v>0</v>
      </c>
      <c r="H104" s="15">
        <v>0.2</v>
      </c>
      <c r="I104" s="15">
        <v>0</v>
      </c>
      <c r="J104" s="15">
        <v>0</v>
      </c>
      <c r="K104" s="15">
        <v>0</v>
      </c>
      <c r="L104" s="15">
        <v>0</v>
      </c>
      <c r="M104" s="15">
        <v>1.5</v>
      </c>
      <c r="N104" s="15">
        <v>0.05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6">
        <v>0</v>
      </c>
      <c r="W104" s="14">
        <v>8.1999999999999993</v>
      </c>
      <c r="X104" s="15">
        <v>216</v>
      </c>
      <c r="Y104" s="15">
        <v>210</v>
      </c>
      <c r="Z104" s="15">
        <v>580</v>
      </c>
      <c r="AA104" s="15">
        <v>0</v>
      </c>
      <c r="AB104" s="15">
        <v>13</v>
      </c>
      <c r="AC104" s="15">
        <v>14.1</v>
      </c>
      <c r="AD104" s="16">
        <v>0</v>
      </c>
    </row>
    <row r="105" spans="1:30" ht="15" customHeight="1" x14ac:dyDescent="0.25">
      <c r="A105" s="13">
        <v>104</v>
      </c>
      <c r="B105" s="14">
        <v>70</v>
      </c>
      <c r="C105" s="15">
        <v>16.37</v>
      </c>
      <c r="D105" s="15">
        <v>0</v>
      </c>
      <c r="E105" s="15">
        <v>0</v>
      </c>
      <c r="F105" s="15">
        <v>8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1.9</v>
      </c>
      <c r="S105" s="15">
        <v>0</v>
      </c>
      <c r="T105" s="15">
        <v>0</v>
      </c>
      <c r="U105" s="15">
        <v>0</v>
      </c>
      <c r="V105" s="16">
        <v>0</v>
      </c>
      <c r="W105" s="14">
        <v>0</v>
      </c>
      <c r="X105" s="15">
        <v>0</v>
      </c>
      <c r="Y105" s="15">
        <v>228</v>
      </c>
      <c r="Z105" s="15">
        <v>0</v>
      </c>
      <c r="AA105" s="15">
        <v>0</v>
      </c>
      <c r="AB105" s="15">
        <v>11</v>
      </c>
      <c r="AC105" s="15">
        <v>0</v>
      </c>
      <c r="AD105" s="16">
        <v>13.64</v>
      </c>
    </row>
    <row r="106" spans="1:30" ht="15" customHeight="1" x14ac:dyDescent="0.25">
      <c r="A106" s="13">
        <v>105</v>
      </c>
      <c r="B106" s="14">
        <v>65.599999999999994</v>
      </c>
      <c r="C106" s="15">
        <v>19.5</v>
      </c>
      <c r="D106" s="15">
        <v>0</v>
      </c>
      <c r="E106" s="15">
        <v>0</v>
      </c>
      <c r="F106" s="15">
        <v>13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1.9</v>
      </c>
      <c r="S106" s="15">
        <v>0</v>
      </c>
      <c r="T106" s="15">
        <v>0</v>
      </c>
      <c r="U106" s="15">
        <v>0</v>
      </c>
      <c r="V106" s="16">
        <v>0</v>
      </c>
      <c r="W106" s="14">
        <v>0</v>
      </c>
      <c r="X106" s="15">
        <v>0</v>
      </c>
      <c r="Y106" s="15">
        <v>326</v>
      </c>
      <c r="Z106" s="15">
        <v>1081.9000000000001</v>
      </c>
      <c r="AA106" s="15">
        <v>488.6</v>
      </c>
      <c r="AB106" s="15">
        <v>10</v>
      </c>
      <c r="AC106" s="15">
        <v>0</v>
      </c>
      <c r="AD106" s="16">
        <v>0</v>
      </c>
    </row>
    <row r="107" spans="1:30" ht="15" customHeight="1" x14ac:dyDescent="0.25">
      <c r="A107" s="13">
        <v>106</v>
      </c>
      <c r="B107" s="14">
        <v>76</v>
      </c>
      <c r="C107" s="15">
        <v>12</v>
      </c>
      <c r="D107" s="15">
        <v>0</v>
      </c>
      <c r="E107" s="15">
        <v>0</v>
      </c>
      <c r="F107" s="15">
        <v>4.6500000000000004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1.8</v>
      </c>
      <c r="S107" s="15">
        <v>0</v>
      </c>
      <c r="T107" s="15">
        <v>0</v>
      </c>
      <c r="U107" s="15">
        <v>0</v>
      </c>
      <c r="V107" s="16">
        <v>0</v>
      </c>
      <c r="W107" s="14">
        <v>0</v>
      </c>
      <c r="X107" s="15">
        <v>0</v>
      </c>
      <c r="Y107" s="15">
        <v>225</v>
      </c>
      <c r="Z107" s="15">
        <v>530.48</v>
      </c>
      <c r="AA107" s="15">
        <v>279.2</v>
      </c>
      <c r="AB107" s="15">
        <v>16</v>
      </c>
      <c r="AC107" s="15">
        <v>0</v>
      </c>
      <c r="AD107" s="16">
        <v>14.1</v>
      </c>
    </row>
    <row r="108" spans="1:30" ht="15" customHeight="1" x14ac:dyDescent="0.25">
      <c r="A108" s="13">
        <v>107</v>
      </c>
      <c r="B108" s="14">
        <v>73</v>
      </c>
      <c r="C108" s="15">
        <v>13</v>
      </c>
      <c r="D108" s="15">
        <v>0</v>
      </c>
      <c r="E108" s="15">
        <v>0</v>
      </c>
      <c r="F108" s="15">
        <v>4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6">
        <v>0</v>
      </c>
      <c r="W108" s="14">
        <v>0</v>
      </c>
      <c r="X108" s="15">
        <v>0</v>
      </c>
      <c r="Y108" s="15">
        <v>345</v>
      </c>
      <c r="Z108" s="15">
        <v>0</v>
      </c>
      <c r="AA108" s="15">
        <v>820</v>
      </c>
      <c r="AB108" s="15">
        <v>8.5</v>
      </c>
      <c r="AC108" s="15">
        <v>13.2</v>
      </c>
      <c r="AD108" s="16">
        <v>0</v>
      </c>
    </row>
    <row r="109" spans="1:30" ht="15" customHeight="1" x14ac:dyDescent="0.25">
      <c r="A109" s="13">
        <v>108</v>
      </c>
      <c r="B109" s="14">
        <v>84</v>
      </c>
      <c r="C109" s="15">
        <v>13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6">
        <v>0</v>
      </c>
      <c r="W109" s="14">
        <v>0</v>
      </c>
      <c r="X109" s="15">
        <v>0</v>
      </c>
      <c r="Y109" s="15">
        <v>172</v>
      </c>
      <c r="Z109" s="15">
        <v>0</v>
      </c>
      <c r="AA109" s="15">
        <v>300</v>
      </c>
      <c r="AB109" s="15">
        <v>25</v>
      </c>
      <c r="AC109" s="15">
        <v>0</v>
      </c>
      <c r="AD109" s="16">
        <v>0</v>
      </c>
    </row>
    <row r="110" spans="1:30" ht="15" customHeight="1" x14ac:dyDescent="0.25">
      <c r="A110" s="13">
        <v>109</v>
      </c>
      <c r="B110" s="14">
        <v>76</v>
      </c>
      <c r="C110" s="15">
        <v>14</v>
      </c>
      <c r="D110" s="15">
        <v>0</v>
      </c>
      <c r="E110" s="15">
        <v>0</v>
      </c>
      <c r="F110" s="15">
        <v>4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6">
        <v>0</v>
      </c>
      <c r="W110" s="14">
        <v>0</v>
      </c>
      <c r="X110" s="15">
        <v>0</v>
      </c>
      <c r="Y110" s="15">
        <v>350</v>
      </c>
      <c r="Z110" s="15">
        <v>0</v>
      </c>
      <c r="AA110" s="15">
        <v>794</v>
      </c>
      <c r="AB110" s="15">
        <v>9</v>
      </c>
      <c r="AC110" s="15">
        <v>14.3</v>
      </c>
      <c r="AD110" s="16">
        <v>0</v>
      </c>
    </row>
    <row r="111" spans="1:30" ht="15" customHeight="1" x14ac:dyDescent="0.25">
      <c r="A111" s="13">
        <v>110</v>
      </c>
      <c r="B111" s="14">
        <v>71.86</v>
      </c>
      <c r="C111" s="15">
        <v>19</v>
      </c>
      <c r="D111" s="15">
        <v>0</v>
      </c>
      <c r="E111" s="15">
        <v>0</v>
      </c>
      <c r="F111" s="15">
        <v>0.9</v>
      </c>
      <c r="G111" s="15">
        <v>0.09</v>
      </c>
      <c r="H111" s="15">
        <v>0.15</v>
      </c>
      <c r="I111" s="15">
        <v>0.09</v>
      </c>
      <c r="J111" s="15">
        <v>0.09</v>
      </c>
      <c r="K111" s="15">
        <v>0</v>
      </c>
      <c r="L111" s="15">
        <v>0</v>
      </c>
      <c r="M111" s="15">
        <v>0.6</v>
      </c>
      <c r="N111" s="15">
        <v>0</v>
      </c>
      <c r="O111" s="15">
        <v>7</v>
      </c>
      <c r="P111" s="15">
        <v>0</v>
      </c>
      <c r="Q111" s="15">
        <v>0.2</v>
      </c>
      <c r="R111" s="15">
        <v>0</v>
      </c>
      <c r="S111" s="15">
        <v>2E-3</v>
      </c>
      <c r="T111" s="15">
        <v>0</v>
      </c>
      <c r="U111" s="15">
        <v>0</v>
      </c>
      <c r="V111" s="16">
        <v>0</v>
      </c>
      <c r="W111" s="14">
        <v>0</v>
      </c>
      <c r="X111" s="15">
        <v>0</v>
      </c>
      <c r="Y111" s="15">
        <v>170</v>
      </c>
      <c r="Z111" s="15">
        <v>680</v>
      </c>
      <c r="AA111" s="15">
        <v>0</v>
      </c>
      <c r="AB111" s="15">
        <v>11</v>
      </c>
      <c r="AC111" s="15">
        <v>0</v>
      </c>
      <c r="AD111" s="16">
        <v>0</v>
      </c>
    </row>
    <row r="112" spans="1:30" ht="15" customHeight="1" x14ac:dyDescent="0.25">
      <c r="A112" s="13">
        <v>111</v>
      </c>
      <c r="B112" s="14">
        <v>69.38</v>
      </c>
      <c r="C112" s="15">
        <v>20</v>
      </c>
      <c r="D112" s="15">
        <v>0</v>
      </c>
      <c r="E112" s="15">
        <v>0</v>
      </c>
      <c r="F112" s="15">
        <v>1</v>
      </c>
      <c r="G112" s="15">
        <v>0.1</v>
      </c>
      <c r="H112" s="15">
        <v>0.3</v>
      </c>
      <c r="I112" s="15">
        <v>0.1</v>
      </c>
      <c r="J112" s="15">
        <v>0.1</v>
      </c>
      <c r="K112" s="15">
        <v>0</v>
      </c>
      <c r="L112" s="15">
        <v>0</v>
      </c>
      <c r="M112" s="15">
        <v>0.7</v>
      </c>
      <c r="N112" s="15">
        <v>0</v>
      </c>
      <c r="O112" s="15">
        <v>8</v>
      </c>
      <c r="P112" s="15">
        <v>0</v>
      </c>
      <c r="Q112" s="15">
        <v>0.3</v>
      </c>
      <c r="R112" s="15">
        <v>0</v>
      </c>
      <c r="S112" s="15">
        <v>3.0000000000000001E-3</v>
      </c>
      <c r="T112" s="15">
        <v>0</v>
      </c>
      <c r="U112" s="15">
        <v>0</v>
      </c>
      <c r="V112" s="16">
        <v>0</v>
      </c>
      <c r="W112" s="14">
        <v>0</v>
      </c>
      <c r="X112" s="15">
        <v>0</v>
      </c>
      <c r="Y112" s="15">
        <v>200</v>
      </c>
      <c r="Z112" s="15">
        <v>710</v>
      </c>
      <c r="AA112" s="15">
        <v>0</v>
      </c>
      <c r="AB112" s="15">
        <v>7</v>
      </c>
      <c r="AC112" s="15">
        <v>0</v>
      </c>
      <c r="AD112" s="16">
        <v>0</v>
      </c>
    </row>
    <row r="113" spans="1:30" ht="15" customHeight="1" x14ac:dyDescent="0.25">
      <c r="A113" s="13">
        <v>112</v>
      </c>
      <c r="B113" s="14">
        <v>68.900000000000006</v>
      </c>
      <c r="C113" s="15">
        <v>21</v>
      </c>
      <c r="D113" s="15">
        <v>0</v>
      </c>
      <c r="E113" s="15">
        <v>0</v>
      </c>
      <c r="F113" s="15">
        <v>8</v>
      </c>
      <c r="G113" s="15">
        <v>0</v>
      </c>
      <c r="H113" s="15">
        <v>0</v>
      </c>
      <c r="I113" s="15">
        <v>1E-3</v>
      </c>
      <c r="J113" s="15">
        <v>0</v>
      </c>
      <c r="K113" s="15">
        <v>0</v>
      </c>
      <c r="L113" s="15">
        <v>0</v>
      </c>
      <c r="M113" s="15">
        <v>2.1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1E-3</v>
      </c>
      <c r="V113" s="16">
        <v>0</v>
      </c>
      <c r="W113" s="14">
        <v>0</v>
      </c>
      <c r="X113" s="15">
        <v>0</v>
      </c>
      <c r="Y113" s="15">
        <v>185</v>
      </c>
      <c r="Z113" s="15">
        <v>466</v>
      </c>
      <c r="AA113" s="15">
        <v>263</v>
      </c>
      <c r="AB113" s="15">
        <v>14</v>
      </c>
      <c r="AC113" s="15">
        <v>14.9</v>
      </c>
      <c r="AD113" s="16">
        <v>0</v>
      </c>
    </row>
    <row r="114" spans="1:30" ht="15" customHeight="1" x14ac:dyDescent="0.25">
      <c r="A114" s="13">
        <v>113</v>
      </c>
      <c r="B114" s="14">
        <v>61.85</v>
      </c>
      <c r="C114" s="15">
        <v>25.5</v>
      </c>
      <c r="D114" s="15">
        <v>0</v>
      </c>
      <c r="E114" s="15">
        <v>0</v>
      </c>
      <c r="F114" s="15">
        <v>9</v>
      </c>
      <c r="G114" s="15">
        <v>0</v>
      </c>
      <c r="H114" s="15">
        <v>0</v>
      </c>
      <c r="I114" s="15">
        <v>0.05</v>
      </c>
      <c r="J114" s="15">
        <v>0</v>
      </c>
      <c r="K114" s="15">
        <v>0</v>
      </c>
      <c r="L114" s="15">
        <v>0</v>
      </c>
      <c r="M114" s="15">
        <v>3.55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0.05</v>
      </c>
      <c r="V114" s="16">
        <v>0</v>
      </c>
      <c r="W114" s="14">
        <v>0</v>
      </c>
      <c r="X114" s="15">
        <v>0</v>
      </c>
      <c r="Y114" s="15">
        <v>197</v>
      </c>
      <c r="Z114" s="15">
        <v>495</v>
      </c>
      <c r="AA114" s="15">
        <v>300</v>
      </c>
      <c r="AB114" s="15">
        <v>10</v>
      </c>
      <c r="AC114" s="15">
        <v>14.4</v>
      </c>
      <c r="AD114" s="16">
        <v>0</v>
      </c>
    </row>
    <row r="115" spans="1:30" ht="15" customHeight="1" x14ac:dyDescent="0.25">
      <c r="A115" s="13">
        <v>114</v>
      </c>
      <c r="B115" s="14">
        <v>54.9</v>
      </c>
      <c r="C115" s="15">
        <v>30</v>
      </c>
      <c r="D115" s="15">
        <v>0</v>
      </c>
      <c r="E115" s="15">
        <v>0</v>
      </c>
      <c r="F115" s="15">
        <v>10</v>
      </c>
      <c r="G115" s="15">
        <v>0</v>
      </c>
      <c r="H115" s="15">
        <v>0</v>
      </c>
      <c r="I115" s="15">
        <v>0.1</v>
      </c>
      <c r="J115" s="15">
        <v>0</v>
      </c>
      <c r="K115" s="15">
        <v>0</v>
      </c>
      <c r="L115" s="15">
        <v>0</v>
      </c>
      <c r="M115" s="15">
        <v>5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1E-3</v>
      </c>
      <c r="V115" s="16">
        <v>0</v>
      </c>
      <c r="W115" s="14">
        <v>0</v>
      </c>
      <c r="X115" s="15">
        <v>0</v>
      </c>
      <c r="Y115" s="15">
        <v>210</v>
      </c>
      <c r="Z115" s="15">
        <v>523</v>
      </c>
      <c r="AA115" s="15">
        <v>332</v>
      </c>
      <c r="AB115" s="15">
        <v>8</v>
      </c>
      <c r="AC115" s="15">
        <v>13.9</v>
      </c>
      <c r="AD115" s="16">
        <v>0</v>
      </c>
    </row>
    <row r="116" spans="1:30" ht="15" customHeight="1" x14ac:dyDescent="0.25">
      <c r="A116" s="13">
        <v>115</v>
      </c>
      <c r="B116" s="14">
        <v>61.9</v>
      </c>
      <c r="C116" s="15">
        <v>25.5</v>
      </c>
      <c r="D116" s="15">
        <v>0</v>
      </c>
      <c r="E116" s="15">
        <v>0</v>
      </c>
      <c r="F116" s="15">
        <v>9</v>
      </c>
      <c r="G116" s="15">
        <v>0</v>
      </c>
      <c r="H116" s="15">
        <v>0</v>
      </c>
      <c r="I116" s="15">
        <v>0.05</v>
      </c>
      <c r="J116" s="15">
        <v>0</v>
      </c>
      <c r="K116" s="15">
        <v>0</v>
      </c>
      <c r="L116" s="15">
        <v>0</v>
      </c>
      <c r="M116" s="15">
        <v>3.55</v>
      </c>
      <c r="N116" s="15">
        <v>0</v>
      </c>
      <c r="O116" s="15">
        <v>0</v>
      </c>
      <c r="P116" s="15">
        <v>1E-3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6">
        <v>0</v>
      </c>
      <c r="W116" s="14">
        <v>0</v>
      </c>
      <c r="X116" s="15">
        <v>0</v>
      </c>
      <c r="Y116" s="15">
        <v>195</v>
      </c>
      <c r="Z116" s="15">
        <v>487</v>
      </c>
      <c r="AA116" s="15">
        <v>298</v>
      </c>
      <c r="AB116" s="15">
        <v>11</v>
      </c>
      <c r="AC116" s="15">
        <v>14.8</v>
      </c>
      <c r="AD116" s="16">
        <v>0</v>
      </c>
    </row>
    <row r="117" spans="1:30" ht="15" customHeight="1" x14ac:dyDescent="0.25">
      <c r="A117" s="13">
        <v>116</v>
      </c>
      <c r="B117" s="14">
        <v>61.85</v>
      </c>
      <c r="C117" s="15">
        <v>25.5</v>
      </c>
      <c r="D117" s="15">
        <v>0</v>
      </c>
      <c r="E117" s="15">
        <v>0</v>
      </c>
      <c r="F117" s="15">
        <v>9</v>
      </c>
      <c r="G117" s="15">
        <v>0</v>
      </c>
      <c r="H117" s="15">
        <v>0</v>
      </c>
      <c r="I117" s="15">
        <v>0.05</v>
      </c>
      <c r="J117" s="15">
        <v>0</v>
      </c>
      <c r="K117" s="15">
        <v>0</v>
      </c>
      <c r="L117" s="15">
        <v>0</v>
      </c>
      <c r="M117" s="15">
        <v>3.55</v>
      </c>
      <c r="N117" s="15">
        <v>0</v>
      </c>
      <c r="O117" s="15">
        <v>0</v>
      </c>
      <c r="P117" s="15">
        <v>0.05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6">
        <v>0</v>
      </c>
      <c r="W117" s="14">
        <v>0</v>
      </c>
      <c r="X117" s="15">
        <v>0</v>
      </c>
      <c r="Y117" s="15">
        <v>200</v>
      </c>
      <c r="Z117" s="15">
        <v>498</v>
      </c>
      <c r="AA117" s="15">
        <v>313</v>
      </c>
      <c r="AB117" s="15">
        <v>9</v>
      </c>
      <c r="AC117" s="15">
        <v>14.3</v>
      </c>
      <c r="AD117" s="16">
        <v>0</v>
      </c>
    </row>
    <row r="118" spans="1:30" ht="15" customHeight="1" x14ac:dyDescent="0.25">
      <c r="A118" s="13">
        <v>117</v>
      </c>
      <c r="B118" s="14">
        <v>61.8</v>
      </c>
      <c r="C118" s="15">
        <v>25.5</v>
      </c>
      <c r="D118" s="15">
        <v>0</v>
      </c>
      <c r="E118" s="15">
        <v>0</v>
      </c>
      <c r="F118" s="15">
        <v>9</v>
      </c>
      <c r="G118" s="15">
        <v>0</v>
      </c>
      <c r="H118" s="15">
        <v>0</v>
      </c>
      <c r="I118" s="15">
        <v>0.05</v>
      </c>
      <c r="J118" s="15">
        <v>0</v>
      </c>
      <c r="K118" s="15">
        <v>0</v>
      </c>
      <c r="L118" s="15">
        <v>0</v>
      </c>
      <c r="M118" s="15">
        <v>3.55</v>
      </c>
      <c r="N118" s="15">
        <v>0</v>
      </c>
      <c r="O118" s="15">
        <v>0</v>
      </c>
      <c r="P118" s="15">
        <v>0.1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6">
        <v>0</v>
      </c>
      <c r="W118" s="14">
        <v>0</v>
      </c>
      <c r="X118" s="15">
        <v>0</v>
      </c>
      <c r="Y118" s="15">
        <v>205</v>
      </c>
      <c r="Z118" s="15">
        <v>515</v>
      </c>
      <c r="AA118" s="15">
        <v>325</v>
      </c>
      <c r="AB118" s="15">
        <v>8.5</v>
      </c>
      <c r="AC118" s="15">
        <v>14</v>
      </c>
      <c r="AD118" s="16">
        <v>0</v>
      </c>
    </row>
    <row r="119" spans="1:30" ht="15" customHeight="1" x14ac:dyDescent="0.25">
      <c r="A119" s="13">
        <v>118</v>
      </c>
      <c r="B119" s="14">
        <v>61.84</v>
      </c>
      <c r="C119" s="15">
        <v>25.5</v>
      </c>
      <c r="D119" s="15">
        <v>0</v>
      </c>
      <c r="E119" s="15">
        <v>0</v>
      </c>
      <c r="F119" s="15">
        <v>9</v>
      </c>
      <c r="G119" s="15">
        <v>0</v>
      </c>
      <c r="H119" s="15">
        <v>0</v>
      </c>
      <c r="I119" s="15">
        <v>0.05</v>
      </c>
      <c r="J119" s="15">
        <v>0</v>
      </c>
      <c r="K119" s="15">
        <v>0</v>
      </c>
      <c r="L119" s="15">
        <v>0</v>
      </c>
      <c r="M119" s="15">
        <v>3.55</v>
      </c>
      <c r="N119" s="15">
        <v>0</v>
      </c>
      <c r="O119" s="15">
        <v>0</v>
      </c>
      <c r="P119" s="15">
        <v>0.03</v>
      </c>
      <c r="Q119" s="15">
        <v>0</v>
      </c>
      <c r="R119" s="15">
        <v>0</v>
      </c>
      <c r="S119" s="15">
        <v>0</v>
      </c>
      <c r="T119" s="15">
        <v>0</v>
      </c>
      <c r="U119" s="15">
        <v>0.03</v>
      </c>
      <c r="V119" s="16">
        <v>0</v>
      </c>
      <c r="W119" s="14">
        <v>0</v>
      </c>
      <c r="X119" s="15">
        <v>0</v>
      </c>
      <c r="Y119" s="15">
        <v>198</v>
      </c>
      <c r="Z119" s="15">
        <v>492</v>
      </c>
      <c r="AA119" s="15">
        <v>303</v>
      </c>
      <c r="AB119" s="15">
        <v>10</v>
      </c>
      <c r="AC119" s="15">
        <v>14.2</v>
      </c>
      <c r="AD119" s="16">
        <v>0</v>
      </c>
    </row>
    <row r="120" spans="1:30" ht="15" customHeight="1" x14ac:dyDescent="0.25">
      <c r="A120" s="13">
        <v>119</v>
      </c>
      <c r="B120" s="14">
        <v>70</v>
      </c>
      <c r="C120" s="15">
        <v>20.5</v>
      </c>
      <c r="D120" s="15">
        <v>0</v>
      </c>
      <c r="E120" s="15">
        <v>0</v>
      </c>
      <c r="F120" s="15">
        <v>7.5</v>
      </c>
      <c r="G120" s="15">
        <v>0</v>
      </c>
      <c r="H120" s="15">
        <v>0</v>
      </c>
      <c r="I120" s="15">
        <v>1E-3</v>
      </c>
      <c r="J120" s="15">
        <v>0</v>
      </c>
      <c r="K120" s="15">
        <v>0</v>
      </c>
      <c r="L120" s="15">
        <v>0</v>
      </c>
      <c r="M120" s="15">
        <v>2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6">
        <v>0</v>
      </c>
      <c r="W120" s="14">
        <v>0</v>
      </c>
      <c r="X120" s="15">
        <v>0</v>
      </c>
      <c r="Y120" s="15">
        <v>178</v>
      </c>
      <c r="Z120" s="15">
        <v>445</v>
      </c>
      <c r="AA120" s="15">
        <v>221</v>
      </c>
      <c r="AB120" s="15">
        <v>17</v>
      </c>
      <c r="AC120" s="15">
        <v>15.1</v>
      </c>
      <c r="AD120" s="16">
        <v>0</v>
      </c>
    </row>
    <row r="121" spans="1:30" ht="15" customHeight="1" x14ac:dyDescent="0.25">
      <c r="A121" s="13">
        <v>120</v>
      </c>
      <c r="B121" s="14">
        <v>52.26</v>
      </c>
      <c r="C121" s="15">
        <v>31.5</v>
      </c>
      <c r="D121" s="15">
        <v>0</v>
      </c>
      <c r="E121" s="15">
        <v>0</v>
      </c>
      <c r="F121" s="15">
        <v>10.5</v>
      </c>
      <c r="G121" s="15">
        <v>0</v>
      </c>
      <c r="H121" s="15">
        <v>0</v>
      </c>
      <c r="I121" s="15">
        <v>0.12</v>
      </c>
      <c r="J121" s="15">
        <v>0</v>
      </c>
      <c r="K121" s="15">
        <v>0</v>
      </c>
      <c r="L121" s="15">
        <v>0</v>
      </c>
      <c r="M121" s="15">
        <v>5.5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0.12</v>
      </c>
      <c r="V121" s="16">
        <v>0</v>
      </c>
      <c r="W121" s="14">
        <v>0</v>
      </c>
      <c r="X121" s="15">
        <v>0</v>
      </c>
      <c r="Y121" s="15">
        <v>215</v>
      </c>
      <c r="Z121" s="15">
        <v>553</v>
      </c>
      <c r="AA121" s="15">
        <v>353</v>
      </c>
      <c r="AB121" s="15">
        <v>6</v>
      </c>
      <c r="AC121" s="15">
        <v>13.2</v>
      </c>
      <c r="AD121" s="16">
        <v>0</v>
      </c>
    </row>
    <row r="122" spans="1:30" ht="15" customHeight="1" x14ac:dyDescent="0.25">
      <c r="A122" s="13">
        <v>121</v>
      </c>
      <c r="B122" s="14">
        <v>92.38</v>
      </c>
      <c r="C122" s="15">
        <v>0</v>
      </c>
      <c r="D122" s="15">
        <v>0</v>
      </c>
      <c r="E122" s="15">
        <v>0</v>
      </c>
      <c r="F122" s="15">
        <v>0.5</v>
      </c>
      <c r="G122" s="15">
        <v>0</v>
      </c>
      <c r="H122" s="15">
        <v>4</v>
      </c>
      <c r="I122" s="15">
        <v>0.12</v>
      </c>
      <c r="J122" s="15">
        <v>0</v>
      </c>
      <c r="K122" s="15">
        <v>0</v>
      </c>
      <c r="L122" s="15">
        <v>0</v>
      </c>
      <c r="M122" s="15">
        <v>3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6">
        <v>0</v>
      </c>
      <c r="W122" s="14">
        <v>0</v>
      </c>
      <c r="X122" s="15">
        <v>0</v>
      </c>
      <c r="Y122" s="15">
        <v>250</v>
      </c>
      <c r="Z122" s="15">
        <v>520</v>
      </c>
      <c r="AA122" s="15">
        <v>380</v>
      </c>
      <c r="AB122" s="15">
        <v>20</v>
      </c>
      <c r="AC122" s="15">
        <v>13.5</v>
      </c>
      <c r="AD122" s="16">
        <v>0</v>
      </c>
    </row>
    <row r="123" spans="1:30" ht="15" customHeight="1" x14ac:dyDescent="0.25">
      <c r="A123" s="13">
        <v>122</v>
      </c>
      <c r="B123" s="14">
        <v>93.35</v>
      </c>
      <c r="C123" s="15">
        <v>0</v>
      </c>
      <c r="D123" s="15">
        <v>0</v>
      </c>
      <c r="E123" s="15">
        <v>0</v>
      </c>
      <c r="F123" s="15">
        <v>0.5</v>
      </c>
      <c r="G123" s="15">
        <v>0</v>
      </c>
      <c r="H123" s="15">
        <v>3</v>
      </c>
      <c r="I123" s="15">
        <v>0.15</v>
      </c>
      <c r="J123" s="15">
        <v>0</v>
      </c>
      <c r="K123" s="15">
        <v>0</v>
      </c>
      <c r="L123" s="15">
        <v>0</v>
      </c>
      <c r="M123" s="15">
        <v>4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6">
        <v>0</v>
      </c>
      <c r="W123" s="14">
        <v>0</v>
      </c>
      <c r="X123" s="15">
        <v>0</v>
      </c>
      <c r="Y123" s="15">
        <v>280</v>
      </c>
      <c r="Z123" s="15">
        <v>650</v>
      </c>
      <c r="AA123" s="15">
        <v>500</v>
      </c>
      <c r="AB123" s="15">
        <v>15</v>
      </c>
      <c r="AC123" s="15">
        <v>13.5</v>
      </c>
      <c r="AD123" s="16">
        <v>0</v>
      </c>
    </row>
    <row r="124" spans="1:30" ht="15" customHeight="1" x14ac:dyDescent="0.25">
      <c r="A124" s="13">
        <v>123</v>
      </c>
      <c r="B124" s="14">
        <v>92.35</v>
      </c>
      <c r="C124" s="15">
        <v>0</v>
      </c>
      <c r="D124" s="15">
        <v>0</v>
      </c>
      <c r="E124" s="15">
        <v>0</v>
      </c>
      <c r="F124" s="15">
        <v>0.5</v>
      </c>
      <c r="G124" s="15">
        <v>0</v>
      </c>
      <c r="H124" s="15">
        <v>4</v>
      </c>
      <c r="I124" s="15">
        <v>0.15</v>
      </c>
      <c r="J124" s="15">
        <v>0</v>
      </c>
      <c r="K124" s="15">
        <v>0</v>
      </c>
      <c r="L124" s="15">
        <v>0</v>
      </c>
      <c r="M124" s="15">
        <v>4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6">
        <v>0</v>
      </c>
      <c r="W124" s="14">
        <v>0</v>
      </c>
      <c r="X124" s="15">
        <v>0</v>
      </c>
      <c r="Y124" s="15">
        <v>321</v>
      </c>
      <c r="Z124" s="15">
        <v>876</v>
      </c>
      <c r="AA124" s="15">
        <v>597</v>
      </c>
      <c r="AB124" s="15">
        <v>11.6</v>
      </c>
      <c r="AC124" s="15">
        <v>13.5</v>
      </c>
      <c r="AD124" s="16">
        <v>0</v>
      </c>
    </row>
    <row r="125" spans="1:30" ht="15" customHeight="1" x14ac:dyDescent="0.25">
      <c r="A125" s="13">
        <v>124</v>
      </c>
      <c r="B125" s="14">
        <v>89.8</v>
      </c>
      <c r="C125" s="15">
        <v>0</v>
      </c>
      <c r="D125" s="15">
        <v>0</v>
      </c>
      <c r="E125" s="15">
        <v>0</v>
      </c>
      <c r="F125" s="15">
        <v>1</v>
      </c>
      <c r="G125" s="15">
        <v>0</v>
      </c>
      <c r="H125" s="15">
        <v>4.5</v>
      </c>
      <c r="I125" s="15">
        <v>0.2</v>
      </c>
      <c r="J125" s="15">
        <v>0</v>
      </c>
      <c r="K125" s="15">
        <v>0</v>
      </c>
      <c r="L125" s="15">
        <v>0</v>
      </c>
      <c r="M125" s="15">
        <v>4.5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6">
        <v>0</v>
      </c>
      <c r="W125" s="14">
        <v>0</v>
      </c>
      <c r="X125" s="15">
        <v>0</v>
      </c>
      <c r="Y125" s="15">
        <v>332</v>
      </c>
      <c r="Z125" s="15">
        <v>903</v>
      </c>
      <c r="AA125" s="15">
        <v>623</v>
      </c>
      <c r="AB125" s="15">
        <v>8.5</v>
      </c>
      <c r="AC125" s="15">
        <v>13.5</v>
      </c>
      <c r="AD125" s="16">
        <v>0</v>
      </c>
    </row>
    <row r="126" spans="1:30" ht="15" customHeight="1" x14ac:dyDescent="0.25">
      <c r="A126" s="13">
        <v>125</v>
      </c>
      <c r="B126" s="14">
        <v>87.25</v>
      </c>
      <c r="C126" s="15">
        <v>0</v>
      </c>
      <c r="D126" s="15">
        <v>0</v>
      </c>
      <c r="E126" s="15">
        <v>0</v>
      </c>
      <c r="F126" s="15">
        <v>1.5</v>
      </c>
      <c r="G126" s="15">
        <v>0</v>
      </c>
      <c r="H126" s="15">
        <v>6</v>
      </c>
      <c r="I126" s="15">
        <v>0.25</v>
      </c>
      <c r="J126" s="15">
        <v>0</v>
      </c>
      <c r="K126" s="15">
        <v>0</v>
      </c>
      <c r="L126" s="15">
        <v>0</v>
      </c>
      <c r="M126" s="15">
        <v>5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6">
        <v>0</v>
      </c>
      <c r="W126" s="14">
        <v>0</v>
      </c>
      <c r="X126" s="15">
        <v>0</v>
      </c>
      <c r="Y126" s="15">
        <v>341</v>
      </c>
      <c r="Z126" s="15">
        <v>991</v>
      </c>
      <c r="AA126" s="15">
        <v>641</v>
      </c>
      <c r="AB126" s="15">
        <v>8.1999999999999993</v>
      </c>
      <c r="AC126" s="15">
        <v>13</v>
      </c>
      <c r="AD126" s="16">
        <v>0</v>
      </c>
    </row>
    <row r="127" spans="1:30" ht="15" customHeight="1" x14ac:dyDescent="0.25">
      <c r="A127" s="13">
        <v>126</v>
      </c>
      <c r="B127" s="14">
        <v>85.75</v>
      </c>
      <c r="C127" s="15">
        <v>0</v>
      </c>
      <c r="D127" s="15">
        <v>0</v>
      </c>
      <c r="E127" s="15">
        <v>0</v>
      </c>
      <c r="F127" s="15">
        <v>1.8</v>
      </c>
      <c r="G127" s="15">
        <v>0</v>
      </c>
      <c r="H127" s="15">
        <v>7.3</v>
      </c>
      <c r="I127" s="15">
        <v>0.15</v>
      </c>
      <c r="J127" s="15">
        <v>0</v>
      </c>
      <c r="K127" s="15">
        <v>0</v>
      </c>
      <c r="L127" s="15">
        <v>0</v>
      </c>
      <c r="M127" s="15">
        <v>5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6">
        <v>0</v>
      </c>
      <c r="W127" s="14">
        <v>0</v>
      </c>
      <c r="X127" s="15">
        <v>0</v>
      </c>
      <c r="Y127" s="15">
        <v>350</v>
      </c>
      <c r="Z127" s="15">
        <v>900</v>
      </c>
      <c r="AA127" s="15">
        <v>750</v>
      </c>
      <c r="AB127" s="15">
        <v>0</v>
      </c>
      <c r="AC127" s="15">
        <v>13</v>
      </c>
      <c r="AD127" s="16">
        <v>0</v>
      </c>
    </row>
    <row r="128" spans="1:30" ht="15" customHeight="1" x14ac:dyDescent="0.25">
      <c r="A128" s="13">
        <v>127</v>
      </c>
      <c r="B128" s="14">
        <v>87.32</v>
      </c>
      <c r="C128" s="15">
        <v>0</v>
      </c>
      <c r="D128" s="15">
        <v>0</v>
      </c>
      <c r="E128" s="15">
        <v>0</v>
      </c>
      <c r="F128" s="15">
        <v>0.2</v>
      </c>
      <c r="G128" s="15">
        <v>0</v>
      </c>
      <c r="H128" s="15">
        <v>5.2</v>
      </c>
      <c r="I128" s="15">
        <v>0.28000000000000003</v>
      </c>
      <c r="J128" s="15">
        <v>0</v>
      </c>
      <c r="K128" s="15">
        <v>0</v>
      </c>
      <c r="L128" s="15">
        <v>0</v>
      </c>
      <c r="M128" s="15">
        <v>7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6">
        <v>0</v>
      </c>
      <c r="W128" s="14">
        <v>0</v>
      </c>
      <c r="X128" s="15">
        <v>0</v>
      </c>
      <c r="Y128" s="15">
        <v>380</v>
      </c>
      <c r="Z128" s="15">
        <v>950</v>
      </c>
      <c r="AA128" s="15">
        <v>780</v>
      </c>
      <c r="AB128" s="15">
        <v>0</v>
      </c>
      <c r="AC128" s="15">
        <v>13.2</v>
      </c>
      <c r="AD128" s="16">
        <v>0</v>
      </c>
    </row>
    <row r="129" spans="1:30" ht="15" customHeight="1" x14ac:dyDescent="0.25">
      <c r="A129" s="13">
        <v>128</v>
      </c>
      <c r="B129" s="14">
        <v>65.459999999999994</v>
      </c>
      <c r="C129" s="15">
        <v>22.3</v>
      </c>
      <c r="D129" s="15">
        <v>0</v>
      </c>
      <c r="E129" s="15">
        <v>0</v>
      </c>
      <c r="F129" s="15">
        <v>8.9</v>
      </c>
      <c r="G129" s="15">
        <v>0</v>
      </c>
      <c r="H129" s="15">
        <v>0</v>
      </c>
      <c r="I129" s="15">
        <v>6.0000000000000001E-3</v>
      </c>
      <c r="J129" s="15">
        <v>0</v>
      </c>
      <c r="K129" s="15">
        <v>0</v>
      </c>
      <c r="L129" s="15">
        <v>0.8</v>
      </c>
      <c r="M129" s="15">
        <v>1.1399999999999999</v>
      </c>
      <c r="N129" s="15">
        <v>0.5</v>
      </c>
      <c r="O129" s="15">
        <v>0.89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6">
        <v>0</v>
      </c>
      <c r="W129" s="14">
        <v>0</v>
      </c>
      <c r="X129" s="15">
        <v>0</v>
      </c>
      <c r="Y129" s="15">
        <v>172</v>
      </c>
      <c r="Z129" s="15">
        <v>0</v>
      </c>
      <c r="AA129" s="15">
        <v>305</v>
      </c>
      <c r="AB129" s="15">
        <v>35</v>
      </c>
      <c r="AC129" s="15">
        <v>14.5</v>
      </c>
      <c r="AD129" s="16">
        <v>0</v>
      </c>
    </row>
    <row r="130" spans="1:30" ht="15" customHeight="1" x14ac:dyDescent="0.25">
      <c r="A130" s="13">
        <v>129</v>
      </c>
      <c r="B130" s="14">
        <v>64.930000000000007</v>
      </c>
      <c r="C130" s="15">
        <v>22.4</v>
      </c>
      <c r="D130" s="15">
        <v>0</v>
      </c>
      <c r="E130" s="15">
        <v>0</v>
      </c>
      <c r="F130" s="15">
        <v>8.9</v>
      </c>
      <c r="G130" s="15">
        <v>0</v>
      </c>
      <c r="H130" s="15">
        <v>0</v>
      </c>
      <c r="I130" s="15">
        <v>4.0000000000000001E-3</v>
      </c>
      <c r="J130" s="15">
        <v>0</v>
      </c>
      <c r="K130" s="15">
        <v>0</v>
      </c>
      <c r="L130" s="15">
        <v>0.91</v>
      </c>
      <c r="M130" s="15">
        <v>1.1200000000000001</v>
      </c>
      <c r="N130" s="15">
        <v>0.39</v>
      </c>
      <c r="O130" s="15">
        <v>0.84</v>
      </c>
      <c r="P130" s="15">
        <v>0.51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6">
        <v>0</v>
      </c>
      <c r="W130" s="14">
        <v>0</v>
      </c>
      <c r="X130" s="15">
        <v>0</v>
      </c>
      <c r="Y130" s="15">
        <v>176</v>
      </c>
      <c r="Z130" s="15">
        <v>0</v>
      </c>
      <c r="AA130" s="15">
        <v>320</v>
      </c>
      <c r="AB130" s="15">
        <v>27</v>
      </c>
      <c r="AC130" s="15">
        <v>13.9</v>
      </c>
      <c r="AD130" s="16">
        <v>0</v>
      </c>
    </row>
    <row r="131" spans="1:30" ht="15" customHeight="1" x14ac:dyDescent="0.25">
      <c r="A131" s="13">
        <v>130</v>
      </c>
      <c r="B131" s="14">
        <v>64.31</v>
      </c>
      <c r="C131" s="15">
        <v>22.3</v>
      </c>
      <c r="D131" s="15">
        <v>0</v>
      </c>
      <c r="E131" s="15">
        <v>0</v>
      </c>
      <c r="F131" s="15">
        <v>9</v>
      </c>
      <c r="G131" s="15">
        <v>0</v>
      </c>
      <c r="H131" s="15">
        <v>0</v>
      </c>
      <c r="I131" s="15">
        <v>2E-3</v>
      </c>
      <c r="J131" s="15">
        <v>0</v>
      </c>
      <c r="K131" s="15">
        <v>0</v>
      </c>
      <c r="L131" s="15">
        <v>1.41</v>
      </c>
      <c r="M131" s="15">
        <v>1.19</v>
      </c>
      <c r="N131" s="15">
        <v>0.39</v>
      </c>
      <c r="O131" s="15">
        <v>0.84</v>
      </c>
      <c r="P131" s="15">
        <v>0.56000000000000005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6">
        <v>0</v>
      </c>
      <c r="W131" s="14">
        <v>0</v>
      </c>
      <c r="X131" s="15">
        <v>0</v>
      </c>
      <c r="Y131" s="15">
        <v>198</v>
      </c>
      <c r="Z131" s="15">
        <v>0</v>
      </c>
      <c r="AA131" s="15">
        <v>340</v>
      </c>
      <c r="AB131" s="15">
        <v>24</v>
      </c>
      <c r="AC131" s="15">
        <v>14</v>
      </c>
      <c r="AD131" s="16">
        <v>0</v>
      </c>
    </row>
    <row r="132" spans="1:30" ht="15" customHeight="1" x14ac:dyDescent="0.25">
      <c r="A132" s="13">
        <v>131</v>
      </c>
      <c r="B132" s="14">
        <v>63.06</v>
      </c>
      <c r="C132" s="15">
        <v>22.3</v>
      </c>
      <c r="D132" s="15">
        <v>0</v>
      </c>
      <c r="E132" s="15">
        <v>0</v>
      </c>
      <c r="F132" s="15">
        <v>9</v>
      </c>
      <c r="G132" s="15">
        <v>0</v>
      </c>
      <c r="H132" s="15">
        <v>0</v>
      </c>
      <c r="I132" s="15">
        <v>6.0000000000000001E-3</v>
      </c>
      <c r="J132" s="15">
        <v>0</v>
      </c>
      <c r="K132" s="15">
        <v>0</v>
      </c>
      <c r="L132" s="15">
        <v>2.61</v>
      </c>
      <c r="M132" s="15">
        <v>1.32</v>
      </c>
      <c r="N132" s="15">
        <v>0.4</v>
      </c>
      <c r="O132" s="15">
        <v>0.79</v>
      </c>
      <c r="P132" s="15">
        <v>0.51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6">
        <v>0</v>
      </c>
      <c r="W132" s="14">
        <v>0</v>
      </c>
      <c r="X132" s="15">
        <v>0</v>
      </c>
      <c r="Y132" s="15">
        <v>205</v>
      </c>
      <c r="Z132" s="15">
        <v>0</v>
      </c>
      <c r="AA132" s="15">
        <v>354</v>
      </c>
      <c r="AB132" s="15">
        <v>12</v>
      </c>
      <c r="AC132" s="15">
        <v>14.2</v>
      </c>
      <c r="AD132" s="16">
        <v>0</v>
      </c>
    </row>
    <row r="133" spans="1:30" ht="15" customHeight="1" x14ac:dyDescent="0.25">
      <c r="A133" s="13">
        <v>132</v>
      </c>
      <c r="B133" s="14">
        <v>65.25</v>
      </c>
      <c r="C133" s="15">
        <v>23.6</v>
      </c>
      <c r="D133" s="15">
        <v>0</v>
      </c>
      <c r="E133" s="15">
        <v>0</v>
      </c>
      <c r="F133" s="15">
        <v>6.5</v>
      </c>
      <c r="G133" s="15">
        <v>0</v>
      </c>
      <c r="H133" s="15">
        <v>5.0000000000000001E-3</v>
      </c>
      <c r="I133" s="15">
        <v>0.01</v>
      </c>
      <c r="J133" s="15">
        <v>0</v>
      </c>
      <c r="K133" s="15">
        <v>0</v>
      </c>
      <c r="L133" s="15">
        <v>0</v>
      </c>
      <c r="M133" s="15">
        <v>3.2</v>
      </c>
      <c r="N133" s="15">
        <v>0.56000000000000005</v>
      </c>
      <c r="O133" s="15">
        <v>0.15</v>
      </c>
      <c r="P133" s="15">
        <v>0.05</v>
      </c>
      <c r="Q133" s="15">
        <v>0.25</v>
      </c>
      <c r="R133" s="15">
        <v>0</v>
      </c>
      <c r="S133" s="15">
        <v>0.3</v>
      </c>
      <c r="T133" s="15">
        <v>1.5E-3</v>
      </c>
      <c r="U133" s="15">
        <v>0</v>
      </c>
      <c r="V133" s="16">
        <v>0</v>
      </c>
      <c r="W133" s="14">
        <v>0</v>
      </c>
      <c r="X133" s="15">
        <v>0</v>
      </c>
      <c r="Y133" s="15">
        <v>200</v>
      </c>
      <c r="Z133" s="15">
        <v>518</v>
      </c>
      <c r="AA133" s="15">
        <v>266</v>
      </c>
      <c r="AB133" s="15">
        <v>8</v>
      </c>
      <c r="AC133" s="15">
        <v>14.77</v>
      </c>
      <c r="AD133" s="16">
        <v>0</v>
      </c>
    </row>
    <row r="134" spans="1:30" ht="15" customHeight="1" x14ac:dyDescent="0.25">
      <c r="A134" s="13">
        <v>133</v>
      </c>
      <c r="B134" s="14">
        <v>64.819999999999993</v>
      </c>
      <c r="C134" s="15">
        <v>24.5</v>
      </c>
      <c r="D134" s="15">
        <v>0</v>
      </c>
      <c r="E134" s="15">
        <v>0</v>
      </c>
      <c r="F134" s="15">
        <v>6.25</v>
      </c>
      <c r="G134" s="15">
        <v>0</v>
      </c>
      <c r="H134" s="15">
        <v>5.0000000000000001E-3</v>
      </c>
      <c r="I134" s="15">
        <v>0.02</v>
      </c>
      <c r="J134" s="15">
        <v>0</v>
      </c>
      <c r="K134" s="15">
        <v>0</v>
      </c>
      <c r="L134" s="15">
        <v>0</v>
      </c>
      <c r="M134" s="15">
        <v>3.1</v>
      </c>
      <c r="N134" s="15">
        <v>0.35</v>
      </c>
      <c r="O134" s="15">
        <v>0.34</v>
      </c>
      <c r="P134" s="15">
        <v>1.2E-2</v>
      </c>
      <c r="Q134" s="15">
        <v>0.25</v>
      </c>
      <c r="R134" s="15">
        <v>0</v>
      </c>
      <c r="S134" s="15">
        <v>0.33</v>
      </c>
      <c r="T134" s="15">
        <v>1.4E-3</v>
      </c>
      <c r="U134" s="15">
        <v>0</v>
      </c>
      <c r="V134" s="16">
        <v>0</v>
      </c>
      <c r="W134" s="14">
        <v>0</v>
      </c>
      <c r="X134" s="15">
        <v>0</v>
      </c>
      <c r="Y134" s="15">
        <v>210</v>
      </c>
      <c r="Z134" s="15">
        <v>470</v>
      </c>
      <c r="AA134" s="15">
        <v>266</v>
      </c>
      <c r="AB134" s="15">
        <v>6.5</v>
      </c>
      <c r="AC134" s="15">
        <v>15.1</v>
      </c>
      <c r="AD134" s="16">
        <v>0</v>
      </c>
    </row>
    <row r="135" spans="1:30" ht="15" customHeight="1" x14ac:dyDescent="0.25">
      <c r="A135" s="13">
        <v>134</v>
      </c>
      <c r="B135" s="14">
        <v>64.83</v>
      </c>
      <c r="C135" s="15">
        <v>23.95</v>
      </c>
      <c r="D135" s="15">
        <v>0</v>
      </c>
      <c r="E135" s="15">
        <v>0</v>
      </c>
      <c r="F135" s="15">
        <v>6.32</v>
      </c>
      <c r="G135" s="15">
        <v>0</v>
      </c>
      <c r="H135" s="15">
        <v>0.13500000000000001</v>
      </c>
      <c r="I135" s="15">
        <v>0.01</v>
      </c>
      <c r="J135" s="15">
        <v>0</v>
      </c>
      <c r="K135" s="15">
        <v>0</v>
      </c>
      <c r="L135" s="15">
        <v>0</v>
      </c>
      <c r="M135" s="15">
        <v>3.53</v>
      </c>
      <c r="N135" s="15">
        <v>0.05</v>
      </c>
      <c r="O135" s="15">
        <v>0.32</v>
      </c>
      <c r="P135" s="15">
        <v>0.01</v>
      </c>
      <c r="Q135" s="15">
        <v>0.5</v>
      </c>
      <c r="R135" s="15">
        <v>0</v>
      </c>
      <c r="S135" s="15">
        <v>0.31</v>
      </c>
      <c r="T135" s="15">
        <v>1.4E-3</v>
      </c>
      <c r="U135" s="15">
        <v>0</v>
      </c>
      <c r="V135" s="16">
        <v>0</v>
      </c>
      <c r="W135" s="14">
        <v>0</v>
      </c>
      <c r="X135" s="15">
        <v>0</v>
      </c>
      <c r="Y135" s="15">
        <v>203</v>
      </c>
      <c r="Z135" s="15">
        <v>0</v>
      </c>
      <c r="AA135" s="15">
        <v>0</v>
      </c>
      <c r="AB135" s="15">
        <v>0</v>
      </c>
      <c r="AC135" s="15">
        <v>14.3</v>
      </c>
      <c r="AD135" s="16">
        <v>0</v>
      </c>
    </row>
    <row r="136" spans="1:30" ht="15" customHeight="1" x14ac:dyDescent="0.25">
      <c r="A136" s="13">
        <v>135</v>
      </c>
      <c r="B136" s="14">
        <v>63.89</v>
      </c>
      <c r="C136" s="15">
        <v>24.4</v>
      </c>
      <c r="D136" s="15">
        <v>0</v>
      </c>
      <c r="E136" s="15">
        <v>0</v>
      </c>
      <c r="F136" s="15">
        <v>7.11</v>
      </c>
      <c r="G136" s="15">
        <v>0</v>
      </c>
      <c r="H136" s="15">
        <v>0.26</v>
      </c>
      <c r="I136" s="15">
        <v>0.03</v>
      </c>
      <c r="J136" s="15">
        <v>0</v>
      </c>
      <c r="K136" s="15">
        <v>0</v>
      </c>
      <c r="L136" s="15">
        <v>0</v>
      </c>
      <c r="M136" s="15">
        <v>3.8</v>
      </c>
      <c r="N136" s="15">
        <v>0.05</v>
      </c>
      <c r="O136" s="15">
        <v>0.12</v>
      </c>
      <c r="P136" s="15">
        <v>0</v>
      </c>
      <c r="Q136" s="15">
        <v>0</v>
      </c>
      <c r="R136" s="15">
        <v>0</v>
      </c>
      <c r="S136" s="15">
        <v>0.33</v>
      </c>
      <c r="T136" s="15">
        <v>1.8E-3</v>
      </c>
      <c r="U136" s="15">
        <v>0</v>
      </c>
      <c r="V136" s="16">
        <v>0</v>
      </c>
      <c r="W136" s="14">
        <v>0</v>
      </c>
      <c r="X136" s="15">
        <v>0</v>
      </c>
      <c r="Y136" s="15">
        <v>250</v>
      </c>
      <c r="Z136" s="15">
        <v>540</v>
      </c>
      <c r="AA136" s="15">
        <v>354</v>
      </c>
      <c r="AB136" s="15">
        <v>3.5</v>
      </c>
      <c r="AC136" s="15">
        <v>15.5</v>
      </c>
      <c r="AD136" s="16">
        <v>0</v>
      </c>
    </row>
    <row r="137" spans="1:30" ht="15" customHeight="1" x14ac:dyDescent="0.25">
      <c r="A137" s="13">
        <v>136</v>
      </c>
      <c r="B137" s="14">
        <v>66.760000000000005</v>
      </c>
      <c r="C137" s="15">
        <v>22.8</v>
      </c>
      <c r="D137" s="15">
        <v>0</v>
      </c>
      <c r="E137" s="15">
        <v>0</v>
      </c>
      <c r="F137" s="15">
        <v>6.8</v>
      </c>
      <c r="G137" s="15">
        <v>0</v>
      </c>
      <c r="H137" s="15">
        <v>9.5000000000000001E-2</v>
      </c>
      <c r="I137" s="15">
        <v>7.0000000000000007E-2</v>
      </c>
      <c r="J137" s="15">
        <v>0</v>
      </c>
      <c r="K137" s="15">
        <v>0</v>
      </c>
      <c r="L137" s="15">
        <v>0</v>
      </c>
      <c r="M137" s="15">
        <v>1.4</v>
      </c>
      <c r="N137" s="15">
        <v>0.51</v>
      </c>
      <c r="O137" s="15">
        <v>0.36</v>
      </c>
      <c r="P137" s="15">
        <v>0.75</v>
      </c>
      <c r="Q137" s="15">
        <v>0</v>
      </c>
      <c r="R137" s="15">
        <v>0</v>
      </c>
      <c r="S137" s="15">
        <v>0.46</v>
      </c>
      <c r="T137" s="15">
        <v>0</v>
      </c>
      <c r="U137" s="15">
        <v>0</v>
      </c>
      <c r="V137" s="16">
        <v>0</v>
      </c>
      <c r="W137" s="14">
        <v>0</v>
      </c>
      <c r="X137" s="15">
        <v>0</v>
      </c>
      <c r="Y137" s="15">
        <v>280</v>
      </c>
      <c r="Z137" s="15">
        <v>0</v>
      </c>
      <c r="AA137" s="15">
        <v>0</v>
      </c>
      <c r="AB137" s="15">
        <v>0</v>
      </c>
      <c r="AC137" s="15">
        <v>0</v>
      </c>
      <c r="AD137" s="16">
        <v>0</v>
      </c>
    </row>
    <row r="138" spans="1:30" ht="15" customHeight="1" x14ac:dyDescent="0.25">
      <c r="A138" s="13">
        <v>137</v>
      </c>
      <c r="B138" s="14">
        <v>64.17</v>
      </c>
      <c r="C138" s="15">
        <v>20.34</v>
      </c>
      <c r="D138" s="15">
        <v>0</v>
      </c>
      <c r="E138" s="15">
        <v>0</v>
      </c>
      <c r="F138" s="15">
        <v>6.29</v>
      </c>
      <c r="G138" s="15">
        <v>0</v>
      </c>
      <c r="H138" s="15">
        <v>4.4999999999999998E-2</v>
      </c>
      <c r="I138" s="15">
        <v>0.05</v>
      </c>
      <c r="J138" s="15">
        <v>0</v>
      </c>
      <c r="K138" s="15">
        <v>0</v>
      </c>
      <c r="L138" s="15">
        <v>0</v>
      </c>
      <c r="M138" s="15">
        <v>7.02</v>
      </c>
      <c r="N138" s="15">
        <v>0.52</v>
      </c>
      <c r="O138" s="15">
        <v>1.26</v>
      </c>
      <c r="P138" s="15">
        <v>0.11</v>
      </c>
      <c r="Q138" s="15">
        <v>0</v>
      </c>
      <c r="R138" s="15">
        <v>0</v>
      </c>
      <c r="S138" s="15">
        <v>0.2</v>
      </c>
      <c r="T138" s="15">
        <v>0</v>
      </c>
      <c r="U138" s="15">
        <v>0</v>
      </c>
      <c r="V138" s="16">
        <v>0</v>
      </c>
      <c r="W138" s="14">
        <v>0</v>
      </c>
      <c r="X138" s="15">
        <v>0</v>
      </c>
      <c r="Y138" s="15">
        <v>390</v>
      </c>
      <c r="Z138" s="15">
        <v>448</v>
      </c>
      <c r="AA138" s="15">
        <v>0</v>
      </c>
      <c r="AB138" s="15">
        <v>0</v>
      </c>
      <c r="AC138" s="15">
        <v>14.5</v>
      </c>
      <c r="AD138" s="16">
        <v>0</v>
      </c>
    </row>
    <row r="139" spans="1:30" ht="15" customHeight="1" x14ac:dyDescent="0.25">
      <c r="A139" s="13">
        <v>138</v>
      </c>
      <c r="B139" s="14">
        <v>68.58</v>
      </c>
      <c r="C139" s="15">
        <v>20.2</v>
      </c>
      <c r="D139" s="15">
        <v>0</v>
      </c>
      <c r="E139" s="15">
        <v>0</v>
      </c>
      <c r="F139" s="15">
        <v>6</v>
      </c>
      <c r="G139" s="15">
        <v>0</v>
      </c>
      <c r="H139" s="15">
        <v>1.2999999999999999E-2</v>
      </c>
      <c r="I139" s="15">
        <v>7.0000000000000007E-2</v>
      </c>
      <c r="J139" s="15">
        <v>0</v>
      </c>
      <c r="K139" s="15">
        <v>0</v>
      </c>
      <c r="L139" s="15">
        <v>0</v>
      </c>
      <c r="M139" s="15">
        <v>4.0999999999999996</v>
      </c>
      <c r="N139" s="15">
        <v>7.0000000000000007E-2</v>
      </c>
      <c r="O139" s="15">
        <v>0.28999999999999998</v>
      </c>
      <c r="P139" s="15">
        <v>0</v>
      </c>
      <c r="Q139" s="15">
        <v>7.0000000000000001E-3</v>
      </c>
      <c r="R139" s="15">
        <v>0</v>
      </c>
      <c r="S139" s="15">
        <v>0.6</v>
      </c>
      <c r="T139" s="15">
        <v>3.0000000000000001E-3</v>
      </c>
      <c r="U139" s="15">
        <v>0</v>
      </c>
      <c r="V139" s="16">
        <v>0</v>
      </c>
      <c r="W139" s="14">
        <v>0</v>
      </c>
      <c r="X139" s="15">
        <v>0</v>
      </c>
      <c r="Y139" s="15">
        <v>315</v>
      </c>
      <c r="Z139" s="15">
        <v>650</v>
      </c>
      <c r="AA139" s="15">
        <v>0</v>
      </c>
      <c r="AB139" s="15">
        <v>4</v>
      </c>
      <c r="AC139" s="15">
        <v>15.25</v>
      </c>
      <c r="AD139" s="16">
        <v>0</v>
      </c>
    </row>
    <row r="140" spans="1:30" ht="15" customHeight="1" x14ac:dyDescent="0.25">
      <c r="A140" s="13">
        <v>139</v>
      </c>
      <c r="B140" s="14">
        <v>65.239999999999995</v>
      </c>
      <c r="C140" s="15">
        <v>20.9</v>
      </c>
      <c r="D140" s="15">
        <v>0</v>
      </c>
      <c r="E140" s="15">
        <v>0</v>
      </c>
      <c r="F140" s="15">
        <v>8.6999999999999993</v>
      </c>
      <c r="G140" s="15">
        <v>0</v>
      </c>
      <c r="H140" s="15">
        <v>0</v>
      </c>
      <c r="I140" s="15">
        <v>2.3E-2</v>
      </c>
      <c r="J140" s="15">
        <v>0.17</v>
      </c>
      <c r="K140" s="15">
        <v>0</v>
      </c>
      <c r="L140" s="15">
        <v>3.46</v>
      </c>
      <c r="M140" s="15">
        <v>0.69</v>
      </c>
      <c r="N140" s="15">
        <v>0.28999999999999998</v>
      </c>
      <c r="O140" s="15">
        <v>0.53</v>
      </c>
      <c r="P140" s="15">
        <v>0</v>
      </c>
      <c r="Q140" s="15">
        <v>0</v>
      </c>
      <c r="R140" s="15">
        <v>0</v>
      </c>
      <c r="S140" s="15">
        <v>0</v>
      </c>
      <c r="T140" s="15">
        <v>2E-3</v>
      </c>
      <c r="U140" s="15">
        <v>0</v>
      </c>
      <c r="V140" s="16">
        <v>0</v>
      </c>
      <c r="W140" s="14">
        <v>0</v>
      </c>
      <c r="X140" s="15">
        <v>0</v>
      </c>
      <c r="Y140" s="15">
        <v>210</v>
      </c>
      <c r="Z140" s="15">
        <v>0</v>
      </c>
      <c r="AA140" s="15">
        <v>0</v>
      </c>
      <c r="AB140" s="15">
        <v>0</v>
      </c>
      <c r="AC140" s="15">
        <v>14.19</v>
      </c>
      <c r="AD140" s="16">
        <v>0</v>
      </c>
    </row>
    <row r="141" spans="1:30" ht="15" customHeight="1" x14ac:dyDescent="0.25">
      <c r="A141" s="13">
        <v>140</v>
      </c>
      <c r="B141" s="14">
        <v>76.12</v>
      </c>
      <c r="C141" s="15">
        <v>14.3</v>
      </c>
      <c r="D141" s="15">
        <v>0</v>
      </c>
      <c r="E141" s="15">
        <v>0</v>
      </c>
      <c r="F141" s="15">
        <v>4.8</v>
      </c>
      <c r="G141" s="15">
        <v>0</v>
      </c>
      <c r="H141" s="15">
        <v>2.85</v>
      </c>
      <c r="I141" s="15">
        <v>2.3E-2</v>
      </c>
      <c r="J141" s="15">
        <v>0</v>
      </c>
      <c r="K141" s="15">
        <v>0</v>
      </c>
      <c r="L141" s="15">
        <v>0</v>
      </c>
      <c r="M141" s="15">
        <v>0.13</v>
      </c>
      <c r="N141" s="15">
        <v>0.05</v>
      </c>
      <c r="O141" s="15">
        <v>0.03</v>
      </c>
      <c r="P141" s="15">
        <v>0</v>
      </c>
      <c r="Q141" s="15">
        <v>0</v>
      </c>
      <c r="R141" s="15">
        <v>1.7</v>
      </c>
      <c r="S141" s="15">
        <v>0</v>
      </c>
      <c r="T141" s="15">
        <v>0</v>
      </c>
      <c r="U141" s="15">
        <v>0</v>
      </c>
      <c r="V141" s="16">
        <v>0</v>
      </c>
      <c r="W141" s="14">
        <v>0</v>
      </c>
      <c r="X141" s="15">
        <v>0</v>
      </c>
      <c r="Y141" s="15">
        <v>225</v>
      </c>
      <c r="Z141" s="15">
        <v>0</v>
      </c>
      <c r="AA141" s="15">
        <v>0</v>
      </c>
      <c r="AB141" s="15">
        <v>0</v>
      </c>
      <c r="AC141" s="15">
        <v>0</v>
      </c>
      <c r="AD141" s="16">
        <v>0</v>
      </c>
    </row>
    <row r="142" spans="1:30" ht="15" customHeight="1" x14ac:dyDescent="0.25">
      <c r="A142" s="13">
        <v>141</v>
      </c>
      <c r="B142" s="14">
        <v>70.42</v>
      </c>
      <c r="C142" s="15">
        <v>19.010000000000002</v>
      </c>
      <c r="D142" s="15">
        <v>0</v>
      </c>
      <c r="E142" s="15">
        <v>0</v>
      </c>
      <c r="F142" s="15">
        <v>4.2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5.49</v>
      </c>
      <c r="N142" s="15">
        <v>0.68</v>
      </c>
      <c r="O142" s="15">
        <v>0</v>
      </c>
      <c r="P142" s="15">
        <v>0</v>
      </c>
      <c r="Q142" s="15">
        <v>0</v>
      </c>
      <c r="R142" s="15">
        <v>0</v>
      </c>
      <c r="S142" s="15">
        <v>0.2</v>
      </c>
      <c r="T142" s="15">
        <v>0</v>
      </c>
      <c r="U142" s="15">
        <v>0</v>
      </c>
      <c r="V142" s="16">
        <v>0</v>
      </c>
      <c r="W142" s="14">
        <v>0</v>
      </c>
      <c r="X142" s="15">
        <v>0</v>
      </c>
      <c r="Y142" s="15">
        <v>244</v>
      </c>
      <c r="Z142" s="15">
        <v>628</v>
      </c>
      <c r="AA142" s="15">
        <v>558</v>
      </c>
      <c r="AB142" s="15">
        <v>2.5</v>
      </c>
      <c r="AC142" s="15">
        <v>0</v>
      </c>
      <c r="AD142" s="16">
        <v>0</v>
      </c>
    </row>
    <row r="143" spans="1:30" ht="15" customHeight="1" x14ac:dyDescent="0.25">
      <c r="A143" s="13">
        <v>142</v>
      </c>
      <c r="B143" s="14">
        <v>70.42</v>
      </c>
      <c r="C143" s="15">
        <v>19.010000000000002</v>
      </c>
      <c r="D143" s="15">
        <v>0</v>
      </c>
      <c r="E143" s="15">
        <v>0</v>
      </c>
      <c r="F143" s="15">
        <v>4.2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5.49</v>
      </c>
      <c r="N143" s="15">
        <v>0.88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6">
        <v>0</v>
      </c>
      <c r="W143" s="14">
        <v>0</v>
      </c>
      <c r="X143" s="15">
        <v>0</v>
      </c>
      <c r="Y143" s="15">
        <v>221</v>
      </c>
      <c r="Z143" s="15">
        <v>726</v>
      </c>
      <c r="AA143" s="15">
        <v>517</v>
      </c>
      <c r="AB143" s="15">
        <v>4.3</v>
      </c>
      <c r="AC143" s="15">
        <v>0</v>
      </c>
      <c r="AD143" s="16">
        <v>0</v>
      </c>
    </row>
    <row r="144" spans="1:30" ht="15" customHeight="1" x14ac:dyDescent="0.25">
      <c r="A144" s="13">
        <v>143</v>
      </c>
      <c r="B144" s="14">
        <v>71.650000000000006</v>
      </c>
      <c r="C144" s="15">
        <v>19.09</v>
      </c>
      <c r="D144" s="15">
        <v>0</v>
      </c>
      <c r="E144" s="15">
        <v>0</v>
      </c>
      <c r="F144" s="15">
        <v>4.22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4.0199999999999996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1.02</v>
      </c>
      <c r="T144" s="15">
        <v>0</v>
      </c>
      <c r="U144" s="15">
        <v>0</v>
      </c>
      <c r="V144" s="16">
        <v>0</v>
      </c>
      <c r="W144" s="14">
        <v>0</v>
      </c>
      <c r="X144" s="15">
        <v>0</v>
      </c>
      <c r="Y144" s="15">
        <v>266</v>
      </c>
      <c r="Z144" s="15">
        <v>842</v>
      </c>
      <c r="AA144" s="15">
        <v>544</v>
      </c>
      <c r="AB144" s="15">
        <v>2.76</v>
      </c>
      <c r="AC144" s="15">
        <v>0</v>
      </c>
      <c r="AD144" s="16">
        <v>0</v>
      </c>
    </row>
    <row r="145" spans="1:30" ht="15" customHeight="1" x14ac:dyDescent="0.25">
      <c r="A145" s="13">
        <v>144</v>
      </c>
      <c r="B145" s="14">
        <v>71.650000000000006</v>
      </c>
      <c r="C145" s="15">
        <v>19.14</v>
      </c>
      <c r="D145" s="15">
        <v>0</v>
      </c>
      <c r="E145" s="15">
        <v>0</v>
      </c>
      <c r="F145" s="15">
        <v>4.38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3.52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1.31</v>
      </c>
      <c r="T145" s="15">
        <v>0</v>
      </c>
      <c r="U145" s="15">
        <v>0</v>
      </c>
      <c r="V145" s="16">
        <v>0</v>
      </c>
      <c r="W145" s="14">
        <v>0</v>
      </c>
      <c r="X145" s="15">
        <v>0</v>
      </c>
      <c r="Y145" s="15">
        <v>266</v>
      </c>
      <c r="Z145" s="15">
        <v>783</v>
      </c>
      <c r="AA145" s="15">
        <v>544</v>
      </c>
      <c r="AB145" s="15">
        <v>1.6</v>
      </c>
      <c r="AC145" s="15">
        <v>0</v>
      </c>
      <c r="AD145" s="16">
        <v>0</v>
      </c>
    </row>
    <row r="146" spans="1:30" ht="15" customHeight="1" x14ac:dyDescent="0.25">
      <c r="A146" s="13">
        <v>145</v>
      </c>
      <c r="B146" s="14">
        <v>71.09</v>
      </c>
      <c r="C146" s="15">
        <v>19.14</v>
      </c>
      <c r="D146" s="15">
        <v>0</v>
      </c>
      <c r="E146" s="15">
        <v>0</v>
      </c>
      <c r="F146" s="15">
        <v>4.32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3.9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1.55</v>
      </c>
      <c r="T146" s="15">
        <v>0</v>
      </c>
      <c r="U146" s="15">
        <v>0</v>
      </c>
      <c r="V146" s="16">
        <v>0</v>
      </c>
      <c r="W146" s="14">
        <v>0</v>
      </c>
      <c r="X146" s="15">
        <v>0</v>
      </c>
      <c r="Y146" s="15">
        <v>308</v>
      </c>
      <c r="Z146" s="15">
        <v>859</v>
      </c>
      <c r="AA146" s="15">
        <v>628</v>
      </c>
      <c r="AB146" s="15">
        <v>1.24</v>
      </c>
      <c r="AC146" s="15">
        <v>0</v>
      </c>
      <c r="AD146" s="16">
        <v>0</v>
      </c>
    </row>
    <row r="147" spans="1:30" ht="15" customHeight="1" x14ac:dyDescent="0.25">
      <c r="A147" s="13">
        <v>146</v>
      </c>
      <c r="B147" s="14">
        <v>70.94</v>
      </c>
      <c r="C147" s="15">
        <v>18.899999999999999</v>
      </c>
      <c r="D147" s="15">
        <v>0</v>
      </c>
      <c r="E147" s="15">
        <v>0</v>
      </c>
      <c r="F147" s="15">
        <v>4.17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4.5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1.49</v>
      </c>
      <c r="T147" s="15">
        <v>0</v>
      </c>
      <c r="U147" s="15">
        <v>0</v>
      </c>
      <c r="V147" s="16">
        <v>0</v>
      </c>
      <c r="W147" s="14">
        <v>0</v>
      </c>
      <c r="X147" s="15">
        <v>0</v>
      </c>
      <c r="Y147" s="15">
        <v>308</v>
      </c>
      <c r="Z147" s="15">
        <v>838</v>
      </c>
      <c r="AA147" s="15">
        <v>635</v>
      </c>
      <c r="AB147" s="15">
        <v>1.64</v>
      </c>
      <c r="AC147" s="15">
        <v>0</v>
      </c>
      <c r="AD147" s="16">
        <v>0</v>
      </c>
    </row>
    <row r="148" spans="1:30" ht="15" customHeight="1" x14ac:dyDescent="0.25">
      <c r="A148" s="13">
        <v>147</v>
      </c>
      <c r="B148" s="14">
        <v>70.59</v>
      </c>
      <c r="C148" s="15">
        <v>18.809999999999999</v>
      </c>
      <c r="D148" s="15">
        <v>0</v>
      </c>
      <c r="E148" s="15">
        <v>0</v>
      </c>
      <c r="F148" s="15">
        <v>4.1500000000000004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4.95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1.5</v>
      </c>
      <c r="T148" s="15">
        <v>0</v>
      </c>
      <c r="U148" s="15">
        <v>0</v>
      </c>
      <c r="V148" s="16">
        <v>0</v>
      </c>
      <c r="W148" s="14">
        <v>0</v>
      </c>
      <c r="X148" s="15">
        <v>0</v>
      </c>
      <c r="Y148" s="15">
        <v>340</v>
      </c>
      <c r="Z148" s="15">
        <v>763</v>
      </c>
      <c r="AA148" s="15">
        <v>761</v>
      </c>
      <c r="AB148" s="15">
        <v>0.5</v>
      </c>
      <c r="AC148" s="15">
        <v>0</v>
      </c>
      <c r="AD148" s="16">
        <v>0</v>
      </c>
    </row>
    <row r="149" spans="1:30" ht="15" customHeight="1" x14ac:dyDescent="0.25">
      <c r="A149" s="13">
        <v>148</v>
      </c>
      <c r="B149" s="14">
        <v>75</v>
      </c>
      <c r="C149" s="15">
        <v>16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4</v>
      </c>
      <c r="M149" s="15">
        <v>0</v>
      </c>
      <c r="N149" s="15">
        <v>4</v>
      </c>
      <c r="O149" s="15">
        <v>0</v>
      </c>
      <c r="P149" s="15">
        <v>0</v>
      </c>
      <c r="Q149" s="15">
        <v>0</v>
      </c>
      <c r="R149" s="15">
        <v>1</v>
      </c>
      <c r="S149" s="15">
        <v>0</v>
      </c>
      <c r="T149" s="15">
        <v>0</v>
      </c>
      <c r="U149" s="15">
        <v>0</v>
      </c>
      <c r="V149" s="16">
        <v>0</v>
      </c>
      <c r="W149" s="14">
        <v>0</v>
      </c>
      <c r="X149" s="15">
        <v>0</v>
      </c>
      <c r="Y149" s="15">
        <v>260</v>
      </c>
      <c r="Z149" s="15">
        <v>893</v>
      </c>
      <c r="AA149" s="15">
        <v>544</v>
      </c>
      <c r="AB149" s="15">
        <v>32</v>
      </c>
      <c r="AC149" s="15">
        <v>0</v>
      </c>
      <c r="AD149" s="16">
        <v>0</v>
      </c>
    </row>
    <row r="150" spans="1:30" ht="15" customHeight="1" x14ac:dyDescent="0.25">
      <c r="A150" s="13">
        <v>149</v>
      </c>
      <c r="B150" s="14">
        <v>73.650000000000006</v>
      </c>
      <c r="C150" s="15">
        <v>15.3</v>
      </c>
      <c r="D150" s="15">
        <v>0</v>
      </c>
      <c r="E150" s="15">
        <v>0</v>
      </c>
      <c r="F150" s="15">
        <v>0</v>
      </c>
      <c r="G150" s="15">
        <v>0</v>
      </c>
      <c r="H150" s="15">
        <v>1.1499999999999999</v>
      </c>
      <c r="I150" s="15">
        <v>0</v>
      </c>
      <c r="J150" s="15">
        <v>0</v>
      </c>
      <c r="K150" s="15">
        <v>0</v>
      </c>
      <c r="L150" s="15">
        <v>4.7</v>
      </c>
      <c r="M150" s="15">
        <v>0</v>
      </c>
      <c r="N150" s="15">
        <v>4.2</v>
      </c>
      <c r="O150" s="15">
        <v>0</v>
      </c>
      <c r="P150" s="15">
        <v>0</v>
      </c>
      <c r="Q150" s="15">
        <v>0</v>
      </c>
      <c r="R150" s="15">
        <v>1</v>
      </c>
      <c r="S150" s="15">
        <v>0</v>
      </c>
      <c r="T150" s="15">
        <v>0</v>
      </c>
      <c r="U150" s="15">
        <v>0</v>
      </c>
      <c r="V150" s="16">
        <v>0</v>
      </c>
      <c r="W150" s="14">
        <v>0</v>
      </c>
      <c r="X150" s="15">
        <v>0</v>
      </c>
      <c r="Y150" s="15">
        <v>240</v>
      </c>
      <c r="Z150" s="15">
        <v>963</v>
      </c>
      <c r="AA150" s="15">
        <v>733</v>
      </c>
      <c r="AB150" s="15">
        <v>23</v>
      </c>
      <c r="AC150" s="15">
        <v>0</v>
      </c>
      <c r="AD150" s="16">
        <v>0</v>
      </c>
    </row>
    <row r="151" spans="1:30" ht="15" customHeight="1" x14ac:dyDescent="0.25">
      <c r="A151" s="13">
        <v>150</v>
      </c>
      <c r="B151" s="14">
        <v>71.5</v>
      </c>
      <c r="C151" s="15">
        <v>16</v>
      </c>
      <c r="D151" s="15">
        <v>0</v>
      </c>
      <c r="E151" s="15">
        <v>0</v>
      </c>
      <c r="F151" s="15">
        <v>0</v>
      </c>
      <c r="G151" s="15">
        <v>0</v>
      </c>
      <c r="H151" s="15">
        <v>2.5</v>
      </c>
      <c r="I151" s="15">
        <v>0</v>
      </c>
      <c r="J151" s="15">
        <v>0</v>
      </c>
      <c r="K151" s="15">
        <v>0</v>
      </c>
      <c r="L151" s="15">
        <v>5</v>
      </c>
      <c r="M151" s="15">
        <v>0</v>
      </c>
      <c r="N151" s="15">
        <v>4</v>
      </c>
      <c r="O151" s="15">
        <v>0</v>
      </c>
      <c r="P151" s="15">
        <v>0</v>
      </c>
      <c r="Q151" s="15">
        <v>0</v>
      </c>
      <c r="R151" s="15">
        <v>1</v>
      </c>
      <c r="S151" s="15">
        <v>0</v>
      </c>
      <c r="T151" s="15">
        <v>0</v>
      </c>
      <c r="U151" s="15">
        <v>0</v>
      </c>
      <c r="V151" s="16">
        <v>0</v>
      </c>
      <c r="W151" s="14">
        <v>0</v>
      </c>
      <c r="X151" s="15">
        <v>0</v>
      </c>
      <c r="Y151" s="15">
        <v>415</v>
      </c>
      <c r="Z151" s="15">
        <v>1152</v>
      </c>
      <c r="AA151" s="15">
        <v>1012</v>
      </c>
      <c r="AB151" s="15">
        <v>10</v>
      </c>
      <c r="AC151" s="15">
        <v>0</v>
      </c>
      <c r="AD151" s="16">
        <v>0</v>
      </c>
    </row>
    <row r="152" spans="1:30" ht="15" customHeight="1" x14ac:dyDescent="0.25">
      <c r="A152" s="13">
        <v>151</v>
      </c>
      <c r="B152" s="14">
        <v>69.61</v>
      </c>
      <c r="C152" s="15">
        <v>20.11</v>
      </c>
      <c r="D152" s="15">
        <v>0</v>
      </c>
      <c r="E152" s="15">
        <v>0</v>
      </c>
      <c r="F152" s="15">
        <v>6.22</v>
      </c>
      <c r="G152" s="15">
        <v>0</v>
      </c>
      <c r="H152" s="15">
        <v>0</v>
      </c>
      <c r="I152" s="15">
        <v>0.12</v>
      </c>
      <c r="J152" s="15">
        <v>0</v>
      </c>
      <c r="K152" s="15">
        <v>0</v>
      </c>
      <c r="L152" s="15">
        <v>0</v>
      </c>
      <c r="M152" s="15">
        <v>1.45</v>
      </c>
      <c r="N152" s="15">
        <v>0.12</v>
      </c>
      <c r="O152" s="15">
        <v>1.89</v>
      </c>
      <c r="P152" s="15">
        <v>0.48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6">
        <v>0</v>
      </c>
      <c r="W152" s="14">
        <v>0</v>
      </c>
      <c r="X152" s="15">
        <v>0</v>
      </c>
      <c r="Y152" s="15">
        <v>165</v>
      </c>
      <c r="Z152" s="15">
        <v>0</v>
      </c>
      <c r="AA152" s="15">
        <v>290</v>
      </c>
      <c r="AB152" s="15">
        <v>20</v>
      </c>
      <c r="AC152" s="15">
        <v>14.67</v>
      </c>
      <c r="AD152" s="16">
        <v>0</v>
      </c>
    </row>
    <row r="153" spans="1:30" ht="15" customHeight="1" x14ac:dyDescent="0.25">
      <c r="A153" s="13">
        <v>152</v>
      </c>
      <c r="B153" s="14">
        <v>66.22</v>
      </c>
      <c r="C153" s="15">
        <v>20.84</v>
      </c>
      <c r="D153" s="15">
        <v>0</v>
      </c>
      <c r="E153" s="15">
        <v>0</v>
      </c>
      <c r="F153" s="15">
        <v>8.77</v>
      </c>
      <c r="G153" s="15">
        <v>0</v>
      </c>
      <c r="H153" s="15">
        <v>0</v>
      </c>
      <c r="I153" s="15">
        <v>6.0000000000000001E-3</v>
      </c>
      <c r="J153" s="15">
        <v>0</v>
      </c>
      <c r="K153" s="15">
        <v>0</v>
      </c>
      <c r="L153" s="15">
        <v>0</v>
      </c>
      <c r="M153" s="15">
        <v>1.7</v>
      </c>
      <c r="N153" s="15">
        <v>0.13</v>
      </c>
      <c r="O153" s="15">
        <v>1.58</v>
      </c>
      <c r="P153" s="15">
        <v>0.75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6">
        <v>0</v>
      </c>
      <c r="W153" s="14">
        <v>0</v>
      </c>
      <c r="X153" s="15">
        <v>0</v>
      </c>
      <c r="Y153" s="15">
        <v>200</v>
      </c>
      <c r="Z153" s="15">
        <v>0</v>
      </c>
      <c r="AA153" s="15">
        <v>348</v>
      </c>
      <c r="AB153" s="15">
        <v>21.3</v>
      </c>
      <c r="AC153" s="15">
        <v>14.22</v>
      </c>
      <c r="AD153" s="16">
        <v>0</v>
      </c>
    </row>
    <row r="154" spans="1:30" ht="15" customHeight="1" x14ac:dyDescent="0.25">
      <c r="A154" s="13">
        <v>153</v>
      </c>
      <c r="B154" s="14">
        <v>64.14</v>
      </c>
      <c r="C154" s="15">
        <v>20.34</v>
      </c>
      <c r="D154" s="15">
        <v>0</v>
      </c>
      <c r="E154" s="15">
        <v>0</v>
      </c>
      <c r="F154" s="15">
        <v>10.44</v>
      </c>
      <c r="G154" s="15">
        <v>0</v>
      </c>
      <c r="H154" s="15">
        <v>0</v>
      </c>
      <c r="I154" s="15">
        <v>1.7000000000000001E-2</v>
      </c>
      <c r="J154" s="15">
        <v>0</v>
      </c>
      <c r="K154" s="15">
        <v>0</v>
      </c>
      <c r="L154" s="15">
        <v>0</v>
      </c>
      <c r="M154" s="15">
        <v>1.57</v>
      </c>
      <c r="N154" s="15">
        <v>0.06</v>
      </c>
      <c r="O154" s="15">
        <v>2.78</v>
      </c>
      <c r="P154" s="15">
        <v>0.65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6">
        <v>0</v>
      </c>
      <c r="W154" s="14">
        <v>0</v>
      </c>
      <c r="X154" s="15">
        <v>0</v>
      </c>
      <c r="Y154" s="15">
        <v>200</v>
      </c>
      <c r="Z154" s="15">
        <v>0</v>
      </c>
      <c r="AA154" s="15">
        <v>345</v>
      </c>
      <c r="AB154" s="15">
        <v>20.8</v>
      </c>
      <c r="AC154" s="15">
        <v>14</v>
      </c>
      <c r="AD154" s="16">
        <v>0</v>
      </c>
    </row>
    <row r="155" spans="1:30" ht="15" customHeight="1" x14ac:dyDescent="0.25">
      <c r="A155" s="13">
        <v>154</v>
      </c>
      <c r="B155" s="14">
        <v>65.83</v>
      </c>
      <c r="C155" s="15">
        <v>17.5</v>
      </c>
      <c r="D155" s="15">
        <v>0</v>
      </c>
      <c r="E155" s="15">
        <v>0</v>
      </c>
      <c r="F155" s="15">
        <v>5.5</v>
      </c>
      <c r="G155" s="15">
        <v>2.5</v>
      </c>
      <c r="H155" s="15">
        <v>2.5</v>
      </c>
      <c r="I155" s="15">
        <v>0</v>
      </c>
      <c r="J155" s="15">
        <v>0</v>
      </c>
      <c r="K155" s="15">
        <v>0</v>
      </c>
      <c r="L155" s="15">
        <v>0.27500000000000002</v>
      </c>
      <c r="M155" s="15">
        <v>0.25</v>
      </c>
      <c r="N155" s="15">
        <v>5.5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6">
        <v>0</v>
      </c>
      <c r="W155" s="14">
        <v>0</v>
      </c>
      <c r="X155" s="15">
        <v>0</v>
      </c>
      <c r="Y155" s="15">
        <v>0</v>
      </c>
      <c r="Z155" s="15">
        <v>850</v>
      </c>
      <c r="AA155" s="15">
        <v>730</v>
      </c>
      <c r="AB155" s="15">
        <v>2.15</v>
      </c>
      <c r="AC155" s="15">
        <v>0</v>
      </c>
      <c r="AD155" s="16">
        <v>0</v>
      </c>
    </row>
    <row r="156" spans="1:30" ht="15" customHeight="1" x14ac:dyDescent="0.25">
      <c r="A156" s="13">
        <v>155</v>
      </c>
      <c r="B156" s="14">
        <v>62.1</v>
      </c>
      <c r="C156" s="15">
        <v>17.5</v>
      </c>
      <c r="D156" s="15">
        <v>0</v>
      </c>
      <c r="E156" s="15">
        <v>0</v>
      </c>
      <c r="F156" s="15">
        <v>11.75</v>
      </c>
      <c r="G156" s="15">
        <v>0</v>
      </c>
      <c r="H156" s="15">
        <v>3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4.5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6">
        <v>0</v>
      </c>
      <c r="W156" s="14">
        <v>0</v>
      </c>
      <c r="X156" s="15">
        <v>0</v>
      </c>
      <c r="Y156" s="15">
        <v>407</v>
      </c>
      <c r="Z156" s="15">
        <v>845</v>
      </c>
      <c r="AA156" s="15">
        <v>725</v>
      </c>
      <c r="AB156" s="15">
        <v>2.15</v>
      </c>
      <c r="AC156" s="15">
        <v>0</v>
      </c>
      <c r="AD156" s="16">
        <v>0</v>
      </c>
    </row>
    <row r="157" spans="1:30" ht="15" customHeight="1" x14ac:dyDescent="0.25">
      <c r="A157" s="13">
        <v>156</v>
      </c>
      <c r="B157" s="14">
        <v>61</v>
      </c>
      <c r="C157" s="15">
        <v>17.5</v>
      </c>
      <c r="D157" s="15">
        <v>3.5</v>
      </c>
      <c r="E157" s="15">
        <v>0</v>
      </c>
      <c r="F157" s="15">
        <v>12.5</v>
      </c>
      <c r="G157" s="15">
        <v>0</v>
      </c>
      <c r="H157" s="15">
        <v>2.5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2.5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6">
        <v>0</v>
      </c>
      <c r="W157" s="14">
        <v>0</v>
      </c>
      <c r="X157" s="15">
        <v>0</v>
      </c>
      <c r="Y157" s="15">
        <v>370</v>
      </c>
      <c r="Z157" s="15">
        <v>850</v>
      </c>
      <c r="AA157" s="15">
        <v>755</v>
      </c>
      <c r="AB157" s="15">
        <v>1.85</v>
      </c>
      <c r="AC157" s="15">
        <v>0</v>
      </c>
      <c r="AD157" s="16">
        <v>0</v>
      </c>
    </row>
    <row r="158" spans="1:30" ht="15" customHeight="1" x14ac:dyDescent="0.25">
      <c r="A158" s="13">
        <v>157</v>
      </c>
      <c r="B158" s="14">
        <v>51.25</v>
      </c>
      <c r="C158" s="15">
        <v>17.5</v>
      </c>
      <c r="D158" s="15">
        <v>8</v>
      </c>
      <c r="E158" s="15">
        <v>0</v>
      </c>
      <c r="F158" s="15">
        <v>12.5</v>
      </c>
      <c r="G158" s="15">
        <v>0</v>
      </c>
      <c r="H158" s="15">
        <v>2.5</v>
      </c>
      <c r="I158" s="15">
        <v>0</v>
      </c>
      <c r="J158" s="15">
        <v>0</v>
      </c>
      <c r="K158" s="15">
        <v>0</v>
      </c>
      <c r="L158" s="15">
        <v>3.5</v>
      </c>
      <c r="M158" s="15">
        <v>0</v>
      </c>
      <c r="N158" s="15">
        <v>4.5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6">
        <v>0</v>
      </c>
      <c r="W158" s="14">
        <v>0</v>
      </c>
      <c r="X158" s="15">
        <v>0</v>
      </c>
      <c r="Y158" s="15">
        <v>362</v>
      </c>
      <c r="Z158" s="15">
        <v>845</v>
      </c>
      <c r="AA158" s="15">
        <v>745</v>
      </c>
      <c r="AB158" s="15">
        <v>1.75</v>
      </c>
      <c r="AC158" s="15">
        <v>0</v>
      </c>
      <c r="AD158" s="16">
        <v>0</v>
      </c>
    </row>
    <row r="159" spans="1:30" ht="15" customHeight="1" x14ac:dyDescent="0.25">
      <c r="A159" s="13">
        <v>158</v>
      </c>
      <c r="B159" s="14">
        <v>89.88</v>
      </c>
      <c r="C159" s="15">
        <v>8</v>
      </c>
      <c r="D159" s="15">
        <v>0.4</v>
      </c>
      <c r="E159" s="15">
        <v>0</v>
      </c>
      <c r="F159" s="15">
        <v>0.4</v>
      </c>
      <c r="G159" s="15">
        <v>0</v>
      </c>
      <c r="H159" s="15">
        <v>0.5</v>
      </c>
      <c r="I159" s="15">
        <v>0</v>
      </c>
      <c r="J159" s="15">
        <v>0</v>
      </c>
      <c r="K159" s="15">
        <v>0</v>
      </c>
      <c r="L159" s="15">
        <v>0</v>
      </c>
      <c r="M159" s="15">
        <v>0.1</v>
      </c>
      <c r="N159" s="15">
        <v>0.5</v>
      </c>
      <c r="O159" s="15">
        <v>0.01</v>
      </c>
      <c r="P159" s="15">
        <v>0</v>
      </c>
      <c r="Q159" s="15">
        <v>0</v>
      </c>
      <c r="R159" s="15">
        <v>0.2</v>
      </c>
      <c r="S159" s="15">
        <v>0</v>
      </c>
      <c r="T159" s="15">
        <v>0</v>
      </c>
      <c r="U159" s="15">
        <v>0</v>
      </c>
      <c r="V159" s="16">
        <v>0</v>
      </c>
      <c r="W159" s="14">
        <v>7.69</v>
      </c>
      <c r="X159" s="15">
        <v>0</v>
      </c>
      <c r="Y159" s="15">
        <v>322</v>
      </c>
      <c r="Z159" s="15">
        <v>1071.5</v>
      </c>
      <c r="AA159" s="15">
        <v>770.5</v>
      </c>
      <c r="AB159" s="15">
        <v>6.15</v>
      </c>
      <c r="AC159" s="15">
        <v>0</v>
      </c>
      <c r="AD159" s="16">
        <v>0</v>
      </c>
    </row>
    <row r="160" spans="1:30" ht="15" customHeight="1" x14ac:dyDescent="0.25">
      <c r="A160" s="13">
        <v>159</v>
      </c>
      <c r="B160" s="14">
        <v>75.599999999999994</v>
      </c>
      <c r="C160" s="15">
        <v>12</v>
      </c>
      <c r="D160" s="15">
        <v>1.85</v>
      </c>
      <c r="E160" s="15">
        <v>0</v>
      </c>
      <c r="F160" s="15">
        <v>2</v>
      </c>
      <c r="G160" s="15">
        <v>0</v>
      </c>
      <c r="H160" s="15">
        <v>2.5</v>
      </c>
      <c r="I160" s="15">
        <v>0</v>
      </c>
      <c r="J160" s="15">
        <v>0</v>
      </c>
      <c r="K160" s="15">
        <v>0</v>
      </c>
      <c r="L160" s="15">
        <v>0</v>
      </c>
      <c r="M160" s="15">
        <v>1.1000000000000001</v>
      </c>
      <c r="N160" s="15">
        <v>3</v>
      </c>
      <c r="O160" s="15">
        <v>0.4</v>
      </c>
      <c r="P160" s="15">
        <v>0</v>
      </c>
      <c r="Q160" s="15">
        <v>0</v>
      </c>
      <c r="R160" s="15">
        <v>1.45</v>
      </c>
      <c r="S160" s="15">
        <v>0</v>
      </c>
      <c r="T160" s="15">
        <v>0</v>
      </c>
      <c r="U160" s="15">
        <v>0</v>
      </c>
      <c r="V160" s="16">
        <v>0</v>
      </c>
      <c r="W160" s="14">
        <v>7.75</v>
      </c>
      <c r="X160" s="15">
        <v>0</v>
      </c>
      <c r="Y160" s="15">
        <v>378</v>
      </c>
      <c r="Z160" s="15">
        <v>1059.5</v>
      </c>
      <c r="AA160" s="15">
        <v>892.5</v>
      </c>
      <c r="AB160" s="15">
        <v>5.4</v>
      </c>
      <c r="AC160" s="15">
        <v>0</v>
      </c>
      <c r="AD160" s="16">
        <v>0</v>
      </c>
    </row>
    <row r="161" spans="1:30" ht="15" customHeight="1" x14ac:dyDescent="0.25">
      <c r="A161" s="13">
        <v>160</v>
      </c>
      <c r="B161" s="14">
        <v>53.4</v>
      </c>
      <c r="C161" s="15">
        <v>20</v>
      </c>
      <c r="D161" s="15">
        <v>4.5999999999999996</v>
      </c>
      <c r="E161" s="15">
        <v>0</v>
      </c>
      <c r="F161" s="15">
        <v>4.5999999999999996</v>
      </c>
      <c r="G161" s="15">
        <v>0</v>
      </c>
      <c r="H161" s="15">
        <v>5</v>
      </c>
      <c r="I161" s="15">
        <v>0</v>
      </c>
      <c r="J161" s="15">
        <v>0</v>
      </c>
      <c r="K161" s="15">
        <v>0</v>
      </c>
      <c r="L161" s="15">
        <v>0</v>
      </c>
      <c r="M161" s="15">
        <v>2</v>
      </c>
      <c r="N161" s="15">
        <v>5</v>
      </c>
      <c r="O161" s="15">
        <v>1</v>
      </c>
      <c r="P161" s="15">
        <v>0</v>
      </c>
      <c r="Q161" s="15">
        <v>0</v>
      </c>
      <c r="R161" s="15">
        <v>4</v>
      </c>
      <c r="S161" s="15">
        <v>0</v>
      </c>
      <c r="T161" s="15">
        <v>0</v>
      </c>
      <c r="U161" s="15">
        <v>0</v>
      </c>
      <c r="V161" s="16">
        <v>0</v>
      </c>
      <c r="W161" s="14">
        <v>7.82</v>
      </c>
      <c r="X161" s="15">
        <v>0</v>
      </c>
      <c r="Y161" s="15">
        <v>438</v>
      </c>
      <c r="Z161" s="15">
        <v>940.5</v>
      </c>
      <c r="AA161" s="15">
        <v>0</v>
      </c>
      <c r="AB161" s="15">
        <v>0</v>
      </c>
      <c r="AC161" s="15">
        <v>0</v>
      </c>
      <c r="AD161" s="16">
        <v>0</v>
      </c>
    </row>
    <row r="162" spans="1:30" ht="15" customHeight="1" x14ac:dyDescent="0.25">
      <c r="A162" s="13">
        <v>161</v>
      </c>
      <c r="B162" s="14">
        <v>71.8</v>
      </c>
      <c r="C162" s="15">
        <v>14</v>
      </c>
      <c r="D162" s="15">
        <v>2.5</v>
      </c>
      <c r="E162" s="15">
        <v>0</v>
      </c>
      <c r="F162" s="15">
        <v>2.5</v>
      </c>
      <c r="G162" s="15">
        <v>0</v>
      </c>
      <c r="H162" s="15">
        <v>2.75</v>
      </c>
      <c r="I162" s="15">
        <v>0</v>
      </c>
      <c r="J162" s="15">
        <v>0</v>
      </c>
      <c r="K162" s="15">
        <v>0</v>
      </c>
      <c r="L162" s="15">
        <v>0</v>
      </c>
      <c r="M162" s="15">
        <v>1.05</v>
      </c>
      <c r="N162" s="15">
        <v>2.75</v>
      </c>
      <c r="O162" s="15">
        <v>0.2475</v>
      </c>
      <c r="P162" s="15">
        <v>0</v>
      </c>
      <c r="Q162" s="15">
        <v>0</v>
      </c>
      <c r="R162" s="15">
        <v>2.2000000000000002</v>
      </c>
      <c r="S162" s="15">
        <v>0</v>
      </c>
      <c r="T162" s="15">
        <v>0</v>
      </c>
      <c r="U162" s="15">
        <v>0</v>
      </c>
      <c r="V162" s="16">
        <v>0</v>
      </c>
      <c r="W162" s="14">
        <v>7.76</v>
      </c>
      <c r="X162" s="15">
        <v>0</v>
      </c>
      <c r="Y162" s="15">
        <v>378</v>
      </c>
      <c r="Z162" s="15">
        <v>1004.5</v>
      </c>
      <c r="AA162" s="15">
        <v>822.5</v>
      </c>
      <c r="AB162" s="15">
        <v>6</v>
      </c>
      <c r="AC162" s="15">
        <v>0</v>
      </c>
      <c r="AD162" s="16">
        <v>0</v>
      </c>
    </row>
    <row r="163" spans="1:30" ht="15" customHeight="1" x14ac:dyDescent="0.25">
      <c r="A163" s="13">
        <v>162</v>
      </c>
      <c r="B163" s="14">
        <v>68.180000000000007</v>
      </c>
      <c r="C163" s="15">
        <v>22</v>
      </c>
      <c r="D163" s="15">
        <v>0</v>
      </c>
      <c r="E163" s="15">
        <v>0</v>
      </c>
      <c r="F163" s="15">
        <v>8</v>
      </c>
      <c r="G163" s="15">
        <v>0</v>
      </c>
      <c r="H163" s="15">
        <v>0</v>
      </c>
      <c r="I163" s="15">
        <v>7.0000000000000001E-3</v>
      </c>
      <c r="J163" s="15">
        <v>0</v>
      </c>
      <c r="K163" s="15">
        <v>0</v>
      </c>
      <c r="L163" s="15">
        <v>0</v>
      </c>
      <c r="M163" s="15">
        <v>1.3</v>
      </c>
      <c r="N163" s="15">
        <v>0.09</v>
      </c>
      <c r="O163" s="15">
        <v>0.4</v>
      </c>
      <c r="P163" s="15">
        <v>0.02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6">
        <v>0</v>
      </c>
      <c r="W163" s="14">
        <v>0</v>
      </c>
      <c r="X163" s="15">
        <v>180</v>
      </c>
      <c r="Y163" s="15">
        <v>180</v>
      </c>
      <c r="Z163" s="15">
        <v>500</v>
      </c>
      <c r="AA163" s="15">
        <v>0</v>
      </c>
      <c r="AB163" s="15">
        <v>23</v>
      </c>
      <c r="AC163" s="15">
        <v>11.34</v>
      </c>
      <c r="AD163" s="16">
        <v>0</v>
      </c>
    </row>
    <row r="164" spans="1:30" ht="15" customHeight="1" x14ac:dyDescent="0.25">
      <c r="A164" s="13">
        <v>163</v>
      </c>
      <c r="B164" s="14">
        <v>65.959999999999994</v>
      </c>
      <c r="C164" s="15">
        <v>23</v>
      </c>
      <c r="D164" s="15">
        <v>0</v>
      </c>
      <c r="E164" s="15">
        <v>0</v>
      </c>
      <c r="F164" s="15">
        <v>9</v>
      </c>
      <c r="G164" s="15">
        <v>0</v>
      </c>
      <c r="H164" s="15">
        <v>0</v>
      </c>
      <c r="I164" s="15">
        <v>8.0000000000000002E-3</v>
      </c>
      <c r="J164" s="15">
        <v>0</v>
      </c>
      <c r="K164" s="15">
        <v>0</v>
      </c>
      <c r="L164" s="15">
        <v>0</v>
      </c>
      <c r="M164" s="15">
        <v>1.4</v>
      </c>
      <c r="N164" s="15">
        <v>0.1</v>
      </c>
      <c r="O164" s="15">
        <v>0.5</v>
      </c>
      <c r="P164" s="15">
        <v>0.03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6">
        <v>0</v>
      </c>
      <c r="W164" s="14">
        <v>0</v>
      </c>
      <c r="X164" s="15">
        <v>193</v>
      </c>
      <c r="Y164" s="15">
        <v>200</v>
      </c>
      <c r="Z164" s="15">
        <v>530</v>
      </c>
      <c r="AA164" s="15">
        <v>0</v>
      </c>
      <c r="AB164" s="15">
        <v>28</v>
      </c>
      <c r="AC164" s="15">
        <v>13.91</v>
      </c>
      <c r="AD164" s="16">
        <v>0</v>
      </c>
    </row>
    <row r="165" spans="1:30" ht="15" customHeight="1" x14ac:dyDescent="0.25">
      <c r="A165" s="13">
        <v>164</v>
      </c>
      <c r="B165" s="14">
        <v>63.825999999999993</v>
      </c>
      <c r="C165" s="15">
        <v>24</v>
      </c>
      <c r="D165" s="15">
        <v>0</v>
      </c>
      <c r="E165" s="15">
        <v>0</v>
      </c>
      <c r="F165" s="15">
        <v>9.5</v>
      </c>
      <c r="G165" s="15">
        <v>0</v>
      </c>
      <c r="H165" s="15">
        <v>0</v>
      </c>
      <c r="I165" s="15">
        <v>1.4E-2</v>
      </c>
      <c r="J165" s="15">
        <v>0</v>
      </c>
      <c r="K165" s="15">
        <v>0</v>
      </c>
      <c r="L165" s="15">
        <v>0</v>
      </c>
      <c r="M165" s="15">
        <v>1.6</v>
      </c>
      <c r="N165" s="15">
        <v>0.2</v>
      </c>
      <c r="O165" s="15">
        <v>0.8</v>
      </c>
      <c r="P165" s="15">
        <v>0.06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6">
        <v>0</v>
      </c>
      <c r="W165" s="14">
        <v>0</v>
      </c>
      <c r="X165" s="15">
        <v>195</v>
      </c>
      <c r="Y165" s="15">
        <v>210</v>
      </c>
      <c r="Z165" s="15">
        <v>550</v>
      </c>
      <c r="AA165" s="15">
        <v>0</v>
      </c>
      <c r="AB165" s="15">
        <v>27</v>
      </c>
      <c r="AC165" s="15">
        <v>13.91</v>
      </c>
      <c r="AD165" s="16">
        <v>0</v>
      </c>
    </row>
    <row r="166" spans="1:30" ht="15" customHeight="1" x14ac:dyDescent="0.25">
      <c r="A166" s="13">
        <v>165</v>
      </c>
      <c r="B166" s="14">
        <v>61.68</v>
      </c>
      <c r="C166" s="15">
        <v>25</v>
      </c>
      <c r="D166" s="15">
        <v>0</v>
      </c>
      <c r="E166" s="15">
        <v>0</v>
      </c>
      <c r="F166" s="15">
        <v>10</v>
      </c>
      <c r="G166" s="15">
        <v>0</v>
      </c>
      <c r="H166" s="15">
        <v>0</v>
      </c>
      <c r="I166" s="15">
        <v>0.02</v>
      </c>
      <c r="J166" s="15">
        <v>0</v>
      </c>
      <c r="K166" s="15">
        <v>0</v>
      </c>
      <c r="L166" s="15">
        <v>0</v>
      </c>
      <c r="M166" s="15">
        <v>1.9</v>
      </c>
      <c r="N166" s="15">
        <v>0.3</v>
      </c>
      <c r="O166" s="15">
        <v>1</v>
      </c>
      <c r="P166" s="15">
        <v>0.1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6">
        <v>0</v>
      </c>
      <c r="W166" s="14">
        <v>0</v>
      </c>
      <c r="X166" s="15">
        <v>197</v>
      </c>
      <c r="Y166" s="15">
        <v>220</v>
      </c>
      <c r="Z166" s="15">
        <v>570</v>
      </c>
      <c r="AA166" s="15">
        <v>0</v>
      </c>
      <c r="AB166" s="15">
        <v>27</v>
      </c>
      <c r="AC166" s="15">
        <v>13.91</v>
      </c>
      <c r="AD166" s="16">
        <v>0</v>
      </c>
    </row>
    <row r="167" spans="1:30" ht="15" customHeight="1" x14ac:dyDescent="0.25">
      <c r="A167" s="13">
        <v>166</v>
      </c>
      <c r="B167" s="14">
        <v>59.36</v>
      </c>
      <c r="C167" s="15">
        <v>26</v>
      </c>
      <c r="D167" s="15">
        <v>0</v>
      </c>
      <c r="E167" s="15">
        <v>0</v>
      </c>
      <c r="F167" s="15">
        <v>11</v>
      </c>
      <c r="G167" s="15">
        <v>0</v>
      </c>
      <c r="H167" s="15">
        <v>0</v>
      </c>
      <c r="I167" s="15">
        <v>0.03</v>
      </c>
      <c r="J167" s="15">
        <v>0</v>
      </c>
      <c r="K167" s="15">
        <v>0</v>
      </c>
      <c r="L167" s="15">
        <v>0</v>
      </c>
      <c r="M167" s="15">
        <v>2</v>
      </c>
      <c r="N167" s="15">
        <v>0.4</v>
      </c>
      <c r="O167" s="15">
        <v>1.1000000000000001</v>
      </c>
      <c r="P167" s="15">
        <v>0.11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6">
        <v>0</v>
      </c>
      <c r="W167" s="14">
        <v>0</v>
      </c>
      <c r="X167" s="15">
        <v>208</v>
      </c>
      <c r="Y167" s="15">
        <v>240</v>
      </c>
      <c r="Z167" s="15">
        <v>590</v>
      </c>
      <c r="AA167" s="15">
        <v>0</v>
      </c>
      <c r="AB167" s="15">
        <v>18</v>
      </c>
      <c r="AC167" s="15">
        <v>14.23</v>
      </c>
      <c r="AD167" s="16">
        <v>0</v>
      </c>
    </row>
    <row r="168" spans="1:30" ht="15" customHeight="1" x14ac:dyDescent="0.25">
      <c r="A168" s="13">
        <v>167</v>
      </c>
      <c r="B168" s="14">
        <v>65.960999999999999</v>
      </c>
      <c r="C168" s="15">
        <v>23</v>
      </c>
      <c r="D168" s="15">
        <v>0</v>
      </c>
      <c r="E168" s="15">
        <v>0</v>
      </c>
      <c r="F168" s="15">
        <v>9.1</v>
      </c>
      <c r="G168" s="15">
        <v>0</v>
      </c>
      <c r="H168" s="15">
        <v>0</v>
      </c>
      <c r="I168" s="15">
        <v>8.9999999999999993E-3</v>
      </c>
      <c r="J168" s="15">
        <v>0</v>
      </c>
      <c r="K168" s="15">
        <v>0</v>
      </c>
      <c r="L168" s="15">
        <v>0</v>
      </c>
      <c r="M168" s="15">
        <v>1.3</v>
      </c>
      <c r="N168" s="15">
        <v>0.1</v>
      </c>
      <c r="O168" s="15">
        <v>0.5</v>
      </c>
      <c r="P168" s="15">
        <v>0.03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6">
        <v>0</v>
      </c>
      <c r="W168" s="14">
        <v>0</v>
      </c>
      <c r="X168" s="15">
        <v>190</v>
      </c>
      <c r="Y168" s="15">
        <v>195</v>
      </c>
      <c r="Z168" s="15">
        <v>520</v>
      </c>
      <c r="AA168" s="15">
        <v>0</v>
      </c>
      <c r="AB168" s="15">
        <v>25</v>
      </c>
      <c r="AC168" s="15">
        <v>12.98</v>
      </c>
      <c r="AD168" s="16">
        <v>0</v>
      </c>
    </row>
    <row r="169" spans="1:30" ht="15" customHeight="1" x14ac:dyDescent="0.25">
      <c r="A169" s="13">
        <v>168</v>
      </c>
      <c r="B169" s="14">
        <v>62.791000000000004</v>
      </c>
      <c r="C169" s="15">
        <v>24</v>
      </c>
      <c r="D169" s="15">
        <v>0</v>
      </c>
      <c r="E169" s="15">
        <v>0</v>
      </c>
      <c r="F169" s="15">
        <v>9.9</v>
      </c>
      <c r="G169" s="15">
        <v>0</v>
      </c>
      <c r="H169" s="15">
        <v>0</v>
      </c>
      <c r="I169" s="15">
        <v>1.9E-2</v>
      </c>
      <c r="J169" s="15">
        <v>0</v>
      </c>
      <c r="K169" s="15">
        <v>0</v>
      </c>
      <c r="L169" s="15">
        <v>0</v>
      </c>
      <c r="M169" s="15">
        <v>2</v>
      </c>
      <c r="N169" s="15">
        <v>0.3</v>
      </c>
      <c r="O169" s="15">
        <v>0.9</v>
      </c>
      <c r="P169" s="15">
        <v>0.09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6">
        <v>0</v>
      </c>
      <c r="W169" s="14">
        <v>0</v>
      </c>
      <c r="X169" s="15">
        <v>194</v>
      </c>
      <c r="Y169" s="15">
        <v>220</v>
      </c>
      <c r="Z169" s="15">
        <v>580</v>
      </c>
      <c r="AA169" s="15">
        <v>0</v>
      </c>
      <c r="AB169" s="15">
        <v>23</v>
      </c>
      <c r="AC169" s="15">
        <v>13.35</v>
      </c>
      <c r="AD169" s="16">
        <v>0</v>
      </c>
    </row>
    <row r="170" spans="1:30" ht="15" customHeight="1" x14ac:dyDescent="0.25">
      <c r="A170" s="13">
        <v>169</v>
      </c>
      <c r="B170" s="14">
        <v>63.761999999999993</v>
      </c>
      <c r="C170" s="15">
        <v>25</v>
      </c>
      <c r="D170" s="15">
        <v>0</v>
      </c>
      <c r="E170" s="15">
        <v>0</v>
      </c>
      <c r="F170" s="15">
        <v>9.1999999999999993</v>
      </c>
      <c r="G170" s="15">
        <v>0</v>
      </c>
      <c r="H170" s="15">
        <v>0</v>
      </c>
      <c r="I170" s="15">
        <v>8.0000000000000002E-3</v>
      </c>
      <c r="J170" s="15">
        <v>0</v>
      </c>
      <c r="K170" s="15">
        <v>0</v>
      </c>
      <c r="L170" s="15">
        <v>0</v>
      </c>
      <c r="M170" s="15">
        <v>1.5</v>
      </c>
      <c r="N170" s="15">
        <v>0.1</v>
      </c>
      <c r="O170" s="15">
        <v>0.4</v>
      </c>
      <c r="P170" s="15">
        <v>0.03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6">
        <v>0</v>
      </c>
      <c r="W170" s="14">
        <v>0</v>
      </c>
      <c r="X170" s="15">
        <v>190</v>
      </c>
      <c r="Y170" s="15">
        <v>210</v>
      </c>
      <c r="Z170" s="15">
        <v>530</v>
      </c>
      <c r="AA170" s="15">
        <v>0</v>
      </c>
      <c r="AB170" s="15">
        <v>26</v>
      </c>
      <c r="AC170" s="15">
        <v>12.32</v>
      </c>
      <c r="AD170" s="16">
        <v>0</v>
      </c>
    </row>
    <row r="171" spans="1:30" ht="15" customHeight="1" x14ac:dyDescent="0.25">
      <c r="A171" s="13">
        <v>170</v>
      </c>
      <c r="B171" s="14">
        <v>61.68</v>
      </c>
      <c r="C171" s="15">
        <v>25</v>
      </c>
      <c r="D171" s="15">
        <v>0</v>
      </c>
      <c r="E171" s="15">
        <v>0</v>
      </c>
      <c r="F171" s="15">
        <v>10</v>
      </c>
      <c r="G171" s="15">
        <v>0</v>
      </c>
      <c r="H171" s="15">
        <v>0</v>
      </c>
      <c r="I171" s="15">
        <v>0.02</v>
      </c>
      <c r="J171" s="15">
        <v>0</v>
      </c>
      <c r="K171" s="15">
        <v>0</v>
      </c>
      <c r="L171" s="15">
        <v>0</v>
      </c>
      <c r="M171" s="15">
        <v>1.8</v>
      </c>
      <c r="N171" s="15">
        <v>0.3</v>
      </c>
      <c r="O171" s="15">
        <v>1.1000000000000001</v>
      </c>
      <c r="P171" s="15">
        <v>0.1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6">
        <v>0</v>
      </c>
      <c r="W171" s="14">
        <v>0</v>
      </c>
      <c r="X171" s="15">
        <v>189</v>
      </c>
      <c r="Y171" s="15">
        <v>205</v>
      </c>
      <c r="Z171" s="15">
        <v>530</v>
      </c>
      <c r="AA171" s="15">
        <v>0</v>
      </c>
      <c r="AB171" s="15">
        <v>27</v>
      </c>
      <c r="AC171" s="15">
        <v>14.11</v>
      </c>
      <c r="AD171" s="16">
        <v>0</v>
      </c>
    </row>
    <row r="172" spans="1:30" ht="15" customHeight="1" x14ac:dyDescent="0.25">
      <c r="A172" s="13">
        <v>171</v>
      </c>
      <c r="B172" s="14">
        <v>65.265000000000001</v>
      </c>
      <c r="C172" s="15">
        <v>23</v>
      </c>
      <c r="D172" s="15">
        <v>0</v>
      </c>
      <c r="E172" s="15">
        <v>0</v>
      </c>
      <c r="F172" s="15">
        <v>9.3000000000000007</v>
      </c>
      <c r="G172" s="15">
        <v>0</v>
      </c>
      <c r="H172" s="15">
        <v>0</v>
      </c>
      <c r="I172" s="15">
        <v>1.4999999999999999E-2</v>
      </c>
      <c r="J172" s="15">
        <v>0</v>
      </c>
      <c r="K172" s="15">
        <v>0</v>
      </c>
      <c r="L172" s="15">
        <v>0</v>
      </c>
      <c r="M172" s="15">
        <v>1.5</v>
      </c>
      <c r="N172" s="15">
        <v>0.2</v>
      </c>
      <c r="O172" s="15">
        <v>0.7</v>
      </c>
      <c r="P172" s="15">
        <v>0.02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6">
        <v>0</v>
      </c>
      <c r="W172" s="14">
        <v>0</v>
      </c>
      <c r="X172" s="15">
        <v>193</v>
      </c>
      <c r="Y172" s="15">
        <v>190</v>
      </c>
      <c r="Z172" s="15">
        <v>520</v>
      </c>
      <c r="AA172" s="15">
        <v>0</v>
      </c>
      <c r="AB172" s="15">
        <v>23</v>
      </c>
      <c r="AC172" s="15">
        <v>12.58</v>
      </c>
      <c r="AD172" s="16">
        <v>0</v>
      </c>
    </row>
    <row r="173" spans="1:30" ht="15" customHeight="1" x14ac:dyDescent="0.25">
      <c r="A173" s="13">
        <v>172</v>
      </c>
      <c r="B173" s="14">
        <v>61.87</v>
      </c>
      <c r="C173" s="15">
        <v>25</v>
      </c>
      <c r="D173" s="15">
        <v>0</v>
      </c>
      <c r="E173" s="15">
        <v>0</v>
      </c>
      <c r="F173" s="15">
        <v>9.8000000000000007</v>
      </c>
      <c r="G173" s="15">
        <v>0</v>
      </c>
      <c r="H173" s="15">
        <v>0</v>
      </c>
      <c r="I173" s="15">
        <v>0.02</v>
      </c>
      <c r="J173" s="15">
        <v>0</v>
      </c>
      <c r="K173" s="15">
        <v>0</v>
      </c>
      <c r="L173" s="15">
        <v>0</v>
      </c>
      <c r="M173" s="15">
        <v>1.9</v>
      </c>
      <c r="N173" s="15">
        <v>0.3</v>
      </c>
      <c r="O173" s="15">
        <v>1</v>
      </c>
      <c r="P173" s="15">
        <v>0.11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6">
        <v>0</v>
      </c>
      <c r="W173" s="14">
        <v>0</v>
      </c>
      <c r="X173" s="15">
        <v>194</v>
      </c>
      <c r="Y173" s="15">
        <v>230</v>
      </c>
      <c r="Z173" s="15">
        <v>580</v>
      </c>
      <c r="AA173" s="15">
        <v>0</v>
      </c>
      <c r="AB173" s="15">
        <v>25</v>
      </c>
      <c r="AC173" s="15">
        <v>14.01</v>
      </c>
      <c r="AD173" s="16">
        <v>0</v>
      </c>
    </row>
    <row r="174" spans="1:30" ht="15" customHeight="1" x14ac:dyDescent="0.25">
      <c r="A174" s="13">
        <v>173</v>
      </c>
      <c r="B174" s="14">
        <v>63.820999999999998</v>
      </c>
      <c r="C174" s="15">
        <v>24</v>
      </c>
      <c r="D174" s="15">
        <v>0</v>
      </c>
      <c r="E174" s="15">
        <v>0</v>
      </c>
      <c r="F174" s="15">
        <v>9.5</v>
      </c>
      <c r="G174" s="15">
        <v>0</v>
      </c>
      <c r="H174" s="15">
        <v>0</v>
      </c>
      <c r="I174" s="15">
        <f>0.008+(0.02-0.008)/2</f>
        <v>1.4E-2</v>
      </c>
      <c r="J174" s="15">
        <v>0</v>
      </c>
      <c r="K174" s="15">
        <v>0</v>
      </c>
      <c r="L174" s="15">
        <v>0</v>
      </c>
      <c r="M174" s="15">
        <v>1.65</v>
      </c>
      <c r="N174" s="15">
        <v>0.2</v>
      </c>
      <c r="O174" s="15">
        <v>0.75</v>
      </c>
      <c r="P174" s="15">
        <f>0.03+(0.1-0.03)/2</f>
        <v>6.5000000000000002E-2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6">
        <v>0</v>
      </c>
      <c r="W174" s="14">
        <v>0</v>
      </c>
      <c r="X174" s="15">
        <v>194</v>
      </c>
      <c r="Y174" s="15">
        <v>200</v>
      </c>
      <c r="Z174" s="15">
        <v>545</v>
      </c>
      <c r="AA174" s="15">
        <v>0</v>
      </c>
      <c r="AB174" s="15">
        <v>23</v>
      </c>
      <c r="AC174" s="15">
        <v>12.785</v>
      </c>
      <c r="AD174" s="16">
        <v>0</v>
      </c>
    </row>
    <row r="175" spans="1:30" ht="15" customHeight="1" x14ac:dyDescent="0.25">
      <c r="A175" s="13">
        <v>174</v>
      </c>
      <c r="B175" s="14">
        <v>63.27</v>
      </c>
      <c r="C175" s="15">
        <v>24.5</v>
      </c>
      <c r="D175" s="15">
        <v>0</v>
      </c>
      <c r="E175" s="15">
        <v>0</v>
      </c>
      <c r="F175" s="15">
        <v>8.6999999999999993</v>
      </c>
      <c r="G175" s="15">
        <v>0</v>
      </c>
      <c r="H175" s="15">
        <v>0</v>
      </c>
      <c r="I175" s="15">
        <v>1.7999999999999999E-2</v>
      </c>
      <c r="J175" s="15">
        <v>0</v>
      </c>
      <c r="K175" s="15">
        <v>0</v>
      </c>
      <c r="L175" s="15">
        <v>1.6</v>
      </c>
      <c r="M175" s="15">
        <v>1.3</v>
      </c>
      <c r="N175" s="15">
        <v>0.4</v>
      </c>
      <c r="O175" s="15">
        <v>0.2</v>
      </c>
      <c r="P175" s="15">
        <v>0</v>
      </c>
      <c r="Q175" s="15">
        <v>0</v>
      </c>
      <c r="R175" s="15">
        <v>0</v>
      </c>
      <c r="S175" s="15">
        <v>0.01</v>
      </c>
      <c r="T175" s="15">
        <v>0</v>
      </c>
      <c r="U175" s="15">
        <v>0</v>
      </c>
      <c r="V175" s="16">
        <v>0</v>
      </c>
      <c r="W175" s="14">
        <v>0</v>
      </c>
      <c r="X175" s="15">
        <v>0</v>
      </c>
      <c r="Y175" s="15">
        <v>0</v>
      </c>
      <c r="Z175" s="15">
        <v>610</v>
      </c>
      <c r="AA175" s="15">
        <v>395</v>
      </c>
      <c r="AB175" s="15">
        <v>41</v>
      </c>
      <c r="AC175" s="15">
        <v>13.6</v>
      </c>
      <c r="AD175" s="16">
        <v>0</v>
      </c>
    </row>
    <row r="176" spans="1:30" ht="15" customHeight="1" x14ac:dyDescent="0.25">
      <c r="A176" s="13">
        <v>175</v>
      </c>
      <c r="B176" s="14">
        <v>62.27</v>
      </c>
      <c r="C176" s="15">
        <v>25.6</v>
      </c>
      <c r="D176" s="15">
        <v>0</v>
      </c>
      <c r="E176" s="15">
        <v>0</v>
      </c>
      <c r="F176" s="15">
        <v>9.5</v>
      </c>
      <c r="G176" s="15">
        <v>0</v>
      </c>
      <c r="H176" s="15">
        <v>0</v>
      </c>
      <c r="I176" s="15">
        <v>1.0999999999999999E-2</v>
      </c>
      <c r="J176" s="15">
        <v>0</v>
      </c>
      <c r="K176" s="15">
        <v>0</v>
      </c>
      <c r="L176" s="15">
        <v>1</v>
      </c>
      <c r="M176" s="15">
        <v>0.9</v>
      </c>
      <c r="N176" s="15">
        <v>0.6</v>
      </c>
      <c r="O176" s="15">
        <v>0.1</v>
      </c>
      <c r="P176" s="15">
        <v>0</v>
      </c>
      <c r="Q176" s="15">
        <v>0</v>
      </c>
      <c r="R176" s="15">
        <v>0</v>
      </c>
      <c r="S176" s="15">
        <v>7.0000000000000001E-3</v>
      </c>
      <c r="T176" s="15">
        <v>0</v>
      </c>
      <c r="U176" s="15">
        <v>0</v>
      </c>
      <c r="V176" s="16">
        <v>0</v>
      </c>
      <c r="W176" s="14">
        <v>0</v>
      </c>
      <c r="X176" s="15">
        <v>0</v>
      </c>
      <c r="Y176" s="15">
        <v>0</v>
      </c>
      <c r="Z176" s="15">
        <v>630</v>
      </c>
      <c r="AA176" s="15">
        <v>420</v>
      </c>
      <c r="AB176" s="15">
        <v>30</v>
      </c>
      <c r="AC176" s="15">
        <v>13.55</v>
      </c>
      <c r="AD176" s="16">
        <v>0</v>
      </c>
    </row>
    <row r="177" spans="1:30" ht="15" customHeight="1" x14ac:dyDescent="0.25">
      <c r="A177" s="13">
        <v>176</v>
      </c>
      <c r="B177" s="14">
        <v>63.36</v>
      </c>
      <c r="C177" s="15">
        <v>23.5</v>
      </c>
      <c r="D177" s="15">
        <v>0</v>
      </c>
      <c r="E177" s="15">
        <v>0</v>
      </c>
      <c r="F177" s="15">
        <v>10</v>
      </c>
      <c r="G177" s="15">
        <v>0</v>
      </c>
      <c r="H177" s="15">
        <v>0</v>
      </c>
      <c r="I177" s="15">
        <v>1.4E-2</v>
      </c>
      <c r="J177" s="15">
        <v>0</v>
      </c>
      <c r="K177" s="15">
        <v>0</v>
      </c>
      <c r="L177" s="15">
        <v>1.2</v>
      </c>
      <c r="M177" s="15">
        <v>1.1000000000000001</v>
      </c>
      <c r="N177" s="15">
        <v>0.5</v>
      </c>
      <c r="O177" s="15">
        <v>0.3</v>
      </c>
      <c r="P177" s="15">
        <v>0</v>
      </c>
      <c r="Q177" s="15">
        <v>0</v>
      </c>
      <c r="R177" s="15">
        <v>0</v>
      </c>
      <c r="S177" s="15">
        <v>1.2999999999999999E-2</v>
      </c>
      <c r="T177" s="15">
        <v>0</v>
      </c>
      <c r="U177" s="15">
        <v>0</v>
      </c>
      <c r="V177" s="16">
        <v>0</v>
      </c>
      <c r="W177" s="14">
        <v>0</v>
      </c>
      <c r="X177" s="15">
        <v>0</v>
      </c>
      <c r="Y177" s="15">
        <v>0</v>
      </c>
      <c r="Z177" s="15">
        <v>625</v>
      </c>
      <c r="AA177" s="15">
        <v>408</v>
      </c>
      <c r="AB177" s="15">
        <v>35</v>
      </c>
      <c r="AC177" s="15">
        <v>13.51</v>
      </c>
      <c r="AD177" s="16">
        <v>0</v>
      </c>
    </row>
    <row r="178" spans="1:30" ht="15" customHeight="1" x14ac:dyDescent="0.25">
      <c r="A178" s="13">
        <v>177</v>
      </c>
      <c r="B178" s="14">
        <v>62.66</v>
      </c>
      <c r="C178" s="15">
        <v>24.5</v>
      </c>
      <c r="D178" s="15">
        <v>0</v>
      </c>
      <c r="E178" s="15">
        <v>0</v>
      </c>
      <c r="F178" s="15">
        <v>9.5</v>
      </c>
      <c r="G178" s="15">
        <v>0</v>
      </c>
      <c r="H178" s="15">
        <v>0</v>
      </c>
      <c r="I178" s="15">
        <v>1.4999999999999999E-2</v>
      </c>
      <c r="J178" s="15">
        <v>0</v>
      </c>
      <c r="K178" s="15">
        <v>0</v>
      </c>
      <c r="L178" s="15">
        <v>1.25</v>
      </c>
      <c r="M178" s="15">
        <v>1.25</v>
      </c>
      <c r="N178" s="15">
        <v>0.55000000000000004</v>
      </c>
      <c r="O178" s="15">
        <v>0.25</v>
      </c>
      <c r="P178" s="15">
        <v>0</v>
      </c>
      <c r="Q178" s="15">
        <v>0</v>
      </c>
      <c r="R178" s="15">
        <v>0</v>
      </c>
      <c r="S178" s="15">
        <v>1.0500000000000001E-2</v>
      </c>
      <c r="T178" s="15">
        <v>0</v>
      </c>
      <c r="U178" s="15">
        <v>0</v>
      </c>
      <c r="V178" s="16">
        <v>0</v>
      </c>
      <c r="W178" s="14">
        <v>0</v>
      </c>
      <c r="X178" s="15">
        <v>0</v>
      </c>
      <c r="Y178" s="15">
        <v>0</v>
      </c>
      <c r="Z178" s="15">
        <v>620</v>
      </c>
      <c r="AA178" s="15">
        <v>407.5</v>
      </c>
      <c r="AB178" s="15">
        <v>35.5</v>
      </c>
      <c r="AC178" s="15">
        <v>13.555</v>
      </c>
      <c r="AD178" s="16">
        <v>0</v>
      </c>
    </row>
    <row r="179" spans="1:30" ht="15" customHeight="1" x14ac:dyDescent="0.25">
      <c r="A179" s="13">
        <v>178</v>
      </c>
      <c r="B179" s="14">
        <v>66.27600000000001</v>
      </c>
      <c r="C179" s="15">
        <v>22.5</v>
      </c>
      <c r="D179" s="15">
        <v>0.02</v>
      </c>
      <c r="E179" s="15">
        <v>0.03</v>
      </c>
      <c r="F179" s="15">
        <v>9.1</v>
      </c>
      <c r="G179" s="15">
        <v>0</v>
      </c>
      <c r="H179" s="15">
        <v>0</v>
      </c>
      <c r="I179" s="15">
        <v>2E-3</v>
      </c>
      <c r="J179" s="15">
        <v>0.26</v>
      </c>
      <c r="K179" s="15">
        <v>0.03</v>
      </c>
      <c r="L179" s="15">
        <v>0.6</v>
      </c>
      <c r="M179" s="15">
        <v>0.8</v>
      </c>
      <c r="N179" s="15">
        <v>2E-3</v>
      </c>
      <c r="O179" s="15">
        <v>0.08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6">
        <v>0</v>
      </c>
      <c r="W179" s="14">
        <v>0</v>
      </c>
      <c r="X179" s="15">
        <v>0</v>
      </c>
      <c r="Y179" s="15">
        <v>0</v>
      </c>
      <c r="Z179" s="15">
        <v>615</v>
      </c>
      <c r="AA179" s="15">
        <v>355</v>
      </c>
      <c r="AB179" s="15">
        <v>32.4</v>
      </c>
      <c r="AC179" s="15">
        <v>13.8</v>
      </c>
      <c r="AD179" s="16">
        <v>0</v>
      </c>
    </row>
    <row r="180" spans="1:30" ht="15" customHeight="1" x14ac:dyDescent="0.25">
      <c r="A180" s="13">
        <v>179</v>
      </c>
      <c r="B180" s="14">
        <v>63.22699999999999</v>
      </c>
      <c r="C180" s="15">
        <v>23.6</v>
      </c>
      <c r="D180" s="15">
        <v>0.05</v>
      </c>
      <c r="E180" s="15">
        <v>0.03</v>
      </c>
      <c r="F180" s="15">
        <v>9.9</v>
      </c>
      <c r="G180" s="15">
        <v>0</v>
      </c>
      <c r="H180" s="15">
        <v>0</v>
      </c>
      <c r="I180" s="15">
        <v>8.0000000000000002E-3</v>
      </c>
      <c r="J180" s="15">
        <v>0.28999999999999998</v>
      </c>
      <c r="K180" s="15">
        <v>0.04</v>
      </c>
      <c r="L180" s="15">
        <v>1</v>
      </c>
      <c r="M180" s="15">
        <v>1.1000000000000001</v>
      </c>
      <c r="N180" s="15">
        <v>5.0000000000000001E-3</v>
      </c>
      <c r="O180" s="15">
        <v>0.15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6">
        <v>0</v>
      </c>
      <c r="W180" s="14">
        <v>0</v>
      </c>
      <c r="X180" s="15">
        <v>0</v>
      </c>
      <c r="Y180" s="15">
        <v>0</v>
      </c>
      <c r="Z180" s="15">
        <v>660</v>
      </c>
      <c r="AA180" s="15">
        <v>380</v>
      </c>
      <c r="AB180" s="15">
        <v>28.5</v>
      </c>
      <c r="AC180" s="15">
        <v>13.9</v>
      </c>
      <c r="AD180" s="16">
        <v>0</v>
      </c>
    </row>
    <row r="181" spans="1:30" ht="15" customHeight="1" x14ac:dyDescent="0.25">
      <c r="A181" s="13">
        <v>180</v>
      </c>
      <c r="B181" s="14">
        <v>61.548000000000002</v>
      </c>
      <c r="C181" s="15">
        <v>24.8</v>
      </c>
      <c r="D181" s="15">
        <v>0.03</v>
      </c>
      <c r="E181" s="15">
        <v>0.04</v>
      </c>
      <c r="F181" s="15">
        <v>10.1</v>
      </c>
      <c r="G181" s="15">
        <v>0</v>
      </c>
      <c r="H181" s="15">
        <v>0</v>
      </c>
      <c r="I181" s="15">
        <v>1.9E-2</v>
      </c>
      <c r="J181" s="15">
        <v>0.32</v>
      </c>
      <c r="K181" s="15">
        <v>0.03</v>
      </c>
      <c r="L181" s="15">
        <v>1.2</v>
      </c>
      <c r="M181" s="15">
        <v>1</v>
      </c>
      <c r="N181" s="15">
        <v>3.0000000000000001E-3</v>
      </c>
      <c r="O181" s="15">
        <v>0.11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6">
        <v>0</v>
      </c>
      <c r="W181" s="14">
        <v>0</v>
      </c>
      <c r="X181" s="15">
        <v>0</v>
      </c>
      <c r="Y181" s="15">
        <v>0</v>
      </c>
      <c r="Z181" s="15">
        <v>630</v>
      </c>
      <c r="AA181" s="15">
        <v>370</v>
      </c>
      <c r="AB181" s="15">
        <v>25.7</v>
      </c>
      <c r="AC181" s="15">
        <v>13.8</v>
      </c>
      <c r="AD181" s="16">
        <v>0</v>
      </c>
    </row>
    <row r="182" spans="1:30" ht="15" customHeight="1" x14ac:dyDescent="0.25">
      <c r="A182" s="13">
        <v>181</v>
      </c>
      <c r="B182" s="14">
        <v>60.71</v>
      </c>
      <c r="C182" s="15">
        <v>22</v>
      </c>
      <c r="D182" s="15">
        <v>0.96</v>
      </c>
      <c r="E182" s="15">
        <v>0.06</v>
      </c>
      <c r="F182" s="15">
        <v>10.9</v>
      </c>
      <c r="G182" s="15">
        <v>0</v>
      </c>
      <c r="H182" s="15">
        <v>0</v>
      </c>
      <c r="I182" s="15">
        <v>0.03</v>
      </c>
      <c r="J182" s="15">
        <v>0.4</v>
      </c>
      <c r="K182" s="15">
        <v>0.05</v>
      </c>
      <c r="L182" s="15">
        <v>1.5</v>
      </c>
      <c r="M182" s="15">
        <v>1.4</v>
      </c>
      <c r="N182" s="15">
        <v>0.01</v>
      </c>
      <c r="O182" s="15">
        <v>0.98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6">
        <v>0</v>
      </c>
      <c r="W182" s="14">
        <v>0</v>
      </c>
      <c r="X182" s="15">
        <v>0</v>
      </c>
      <c r="Y182" s="15">
        <v>0</v>
      </c>
      <c r="Z182" s="15">
        <v>610</v>
      </c>
      <c r="AA182" s="15">
        <v>390</v>
      </c>
      <c r="AB182" s="15">
        <v>12.2</v>
      </c>
      <c r="AC182" s="15">
        <v>13.9</v>
      </c>
      <c r="AD182" s="16">
        <v>0</v>
      </c>
    </row>
    <row r="183" spans="1:30" ht="15" customHeight="1" x14ac:dyDescent="0.25">
      <c r="A183" s="13">
        <v>182</v>
      </c>
      <c r="B183" s="14">
        <v>61.432999999999986</v>
      </c>
      <c r="C183" s="15">
        <v>24.1</v>
      </c>
      <c r="D183" s="15">
        <v>0.04</v>
      </c>
      <c r="E183" s="15">
        <v>0.8</v>
      </c>
      <c r="F183" s="15">
        <v>9.6999999999999993</v>
      </c>
      <c r="G183" s="15">
        <v>0</v>
      </c>
      <c r="H183" s="15">
        <v>0</v>
      </c>
      <c r="I183" s="15">
        <v>1.7000000000000001E-2</v>
      </c>
      <c r="J183" s="15">
        <v>0.27</v>
      </c>
      <c r="K183" s="15">
        <v>1.1000000000000001</v>
      </c>
      <c r="L183" s="15">
        <v>0.5</v>
      </c>
      <c r="M183" s="15">
        <v>1.2</v>
      </c>
      <c r="N183" s="15">
        <v>0.02</v>
      </c>
      <c r="O183" s="15">
        <v>0.12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6">
        <v>0</v>
      </c>
      <c r="W183" s="14">
        <v>0</v>
      </c>
      <c r="X183" s="15">
        <v>0</v>
      </c>
      <c r="Y183" s="15">
        <v>0</v>
      </c>
      <c r="Z183" s="15">
        <v>590</v>
      </c>
      <c r="AA183" s="15">
        <v>375</v>
      </c>
      <c r="AB183" s="15">
        <v>23.6</v>
      </c>
      <c r="AC183" s="15">
        <v>13.8</v>
      </c>
      <c r="AD183" s="16">
        <v>0</v>
      </c>
    </row>
    <row r="184" spans="1:30" ht="15" customHeight="1" x14ac:dyDescent="0.25">
      <c r="A184" s="13">
        <v>183</v>
      </c>
      <c r="B184" s="14">
        <v>62.053000000000004</v>
      </c>
      <c r="C184" s="15">
        <v>23.2</v>
      </c>
      <c r="D184" s="15">
        <v>0.01</v>
      </c>
      <c r="E184" s="15">
        <v>0.04</v>
      </c>
      <c r="F184" s="15">
        <v>9.3000000000000007</v>
      </c>
      <c r="G184" s="15">
        <v>0</v>
      </c>
      <c r="H184" s="15">
        <v>0</v>
      </c>
      <c r="I184" s="15">
        <v>1.0999999999999999E-2</v>
      </c>
      <c r="J184" s="15">
        <v>0.31</v>
      </c>
      <c r="K184" s="15">
        <v>2.4</v>
      </c>
      <c r="L184" s="15">
        <v>0.8</v>
      </c>
      <c r="M184" s="15">
        <v>0.9</v>
      </c>
      <c r="N184" s="15">
        <v>6.0000000000000001E-3</v>
      </c>
      <c r="O184" s="15">
        <v>0.17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6">
        <v>0</v>
      </c>
      <c r="W184" s="14">
        <v>0</v>
      </c>
      <c r="X184" s="15">
        <v>0</v>
      </c>
      <c r="Y184" s="15">
        <v>0</v>
      </c>
      <c r="Z184" s="15">
        <v>625</v>
      </c>
      <c r="AA184" s="15">
        <v>385</v>
      </c>
      <c r="AB184" s="15">
        <v>25.1</v>
      </c>
      <c r="AC184" s="15">
        <v>13.9</v>
      </c>
      <c r="AD184" s="16">
        <v>0</v>
      </c>
    </row>
    <row r="185" spans="1:30" ht="15" customHeight="1" x14ac:dyDescent="0.25">
      <c r="A185" s="13">
        <v>184</v>
      </c>
      <c r="B185" s="14">
        <v>62.314999999999998</v>
      </c>
      <c r="C185" s="15">
        <v>23.5</v>
      </c>
      <c r="D185" s="15">
        <v>0.06</v>
      </c>
      <c r="E185" s="15">
        <v>1.9</v>
      </c>
      <c r="F185" s="15">
        <v>9.6</v>
      </c>
      <c r="G185" s="15">
        <v>0</v>
      </c>
      <c r="H185" s="15">
        <v>0</v>
      </c>
      <c r="I185" s="15">
        <v>1.2E-2</v>
      </c>
      <c r="J185" s="15">
        <v>0.28999999999999998</v>
      </c>
      <c r="K185" s="15">
        <v>0.03</v>
      </c>
      <c r="L185" s="15">
        <v>0.8</v>
      </c>
      <c r="M185" s="15">
        <v>0.8</v>
      </c>
      <c r="N185" s="15">
        <v>3.0000000000000001E-3</v>
      </c>
      <c r="O185" s="15">
        <v>0.09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6">
        <v>0</v>
      </c>
      <c r="W185" s="14">
        <v>0</v>
      </c>
      <c r="X185" s="15">
        <v>0</v>
      </c>
      <c r="Y185" s="15">
        <v>0</v>
      </c>
      <c r="Z185" s="15">
        <v>655</v>
      </c>
      <c r="AA185" s="15">
        <v>370</v>
      </c>
      <c r="AB185" s="15">
        <v>21.4</v>
      </c>
      <c r="AC185" s="15">
        <v>13.8</v>
      </c>
      <c r="AD185" s="16">
        <v>0</v>
      </c>
    </row>
    <row r="186" spans="1:30" ht="15" customHeight="1" x14ac:dyDescent="0.25">
      <c r="A186" s="13">
        <v>185</v>
      </c>
      <c r="B186" s="14">
        <v>62.075000000000003</v>
      </c>
      <c r="C186" s="15">
        <v>23.1</v>
      </c>
      <c r="D186" s="15">
        <v>0.03</v>
      </c>
      <c r="E186" s="15">
        <v>1.1000000000000001</v>
      </c>
      <c r="F186" s="15">
        <v>9.4</v>
      </c>
      <c r="G186" s="15">
        <v>0</v>
      </c>
      <c r="H186" s="15">
        <v>0</v>
      </c>
      <c r="I186" s="15">
        <v>0.14000000000000001</v>
      </c>
      <c r="J186" s="15">
        <v>0.34</v>
      </c>
      <c r="K186" s="15">
        <v>1.3</v>
      </c>
      <c r="L186" s="15">
        <v>0.9</v>
      </c>
      <c r="M186" s="15">
        <v>0.7</v>
      </c>
      <c r="N186" s="15">
        <v>5.0000000000000001E-3</v>
      </c>
      <c r="O186" s="15">
        <v>0.21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6">
        <v>0</v>
      </c>
      <c r="W186" s="14">
        <v>0</v>
      </c>
      <c r="X186" s="15">
        <v>0</v>
      </c>
      <c r="Y186" s="15">
        <v>0</v>
      </c>
      <c r="Z186" s="15">
        <v>645</v>
      </c>
      <c r="AA186" s="15">
        <v>415</v>
      </c>
      <c r="AB186" s="15">
        <v>10.3</v>
      </c>
      <c r="AC186" s="15">
        <v>13.9</v>
      </c>
      <c r="AD186" s="16">
        <v>0</v>
      </c>
    </row>
    <row r="187" spans="1:30" ht="15" customHeight="1" x14ac:dyDescent="0.25">
      <c r="A187" s="13">
        <v>186</v>
      </c>
      <c r="B187" s="14">
        <v>58.969000000000001</v>
      </c>
      <c r="C187" s="15">
        <v>23.5</v>
      </c>
      <c r="D187" s="15">
        <v>0.505</v>
      </c>
      <c r="E187" s="15">
        <v>1.5149999999999999</v>
      </c>
      <c r="F187" s="15">
        <v>10</v>
      </c>
      <c r="G187" s="15">
        <v>0</v>
      </c>
      <c r="H187" s="15">
        <v>0</v>
      </c>
      <c r="I187" s="15">
        <v>1.55E-2</v>
      </c>
      <c r="J187" s="15">
        <v>0.32500000000000001</v>
      </c>
      <c r="K187" s="15">
        <v>1.2649999999999999</v>
      </c>
      <c r="L187" s="15">
        <v>1.25</v>
      </c>
      <c r="M187" s="15">
        <v>1.5</v>
      </c>
      <c r="N187" s="15">
        <v>0.10050000000000001</v>
      </c>
      <c r="O187" s="15">
        <v>0.45500000000000002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6">
        <v>0</v>
      </c>
      <c r="W187" s="14">
        <v>0</v>
      </c>
      <c r="X187" s="15">
        <v>0</v>
      </c>
      <c r="Y187" s="15">
        <v>0</v>
      </c>
      <c r="Z187" s="15">
        <v>625</v>
      </c>
      <c r="AA187" s="15">
        <v>385</v>
      </c>
      <c r="AB187" s="15">
        <v>21.35</v>
      </c>
      <c r="AC187" s="15">
        <v>13.85</v>
      </c>
      <c r="AD187" s="16">
        <v>0</v>
      </c>
    </row>
    <row r="188" spans="1:30" ht="15" customHeight="1" x14ac:dyDescent="0.25">
      <c r="A188" s="13">
        <v>187</v>
      </c>
      <c r="B188" s="14">
        <v>61.25</v>
      </c>
      <c r="C188" s="15">
        <v>22</v>
      </c>
      <c r="D188" s="15">
        <v>0</v>
      </c>
      <c r="E188" s="15">
        <v>4.5</v>
      </c>
      <c r="F188" s="15">
        <v>8.25</v>
      </c>
      <c r="G188" s="15">
        <v>0.25</v>
      </c>
      <c r="H188" s="15">
        <v>1</v>
      </c>
      <c r="I188" s="15">
        <v>0</v>
      </c>
      <c r="J188" s="15">
        <v>0</v>
      </c>
      <c r="K188" s="15">
        <v>0</v>
      </c>
      <c r="L188" s="15">
        <v>0</v>
      </c>
      <c r="M188" s="15">
        <v>2.5</v>
      </c>
      <c r="N188" s="15">
        <v>0</v>
      </c>
      <c r="O188" s="15">
        <v>0</v>
      </c>
      <c r="P188" s="15">
        <v>0.25</v>
      </c>
      <c r="Q188" s="15">
        <v>0</v>
      </c>
      <c r="R188" s="15">
        <v>0</v>
      </c>
      <c r="S188" s="15">
        <v>0</v>
      </c>
      <c r="T188" s="15">
        <v>0</v>
      </c>
      <c r="U188" s="15">
        <v>0.25</v>
      </c>
      <c r="V188" s="16">
        <v>0</v>
      </c>
      <c r="W188" s="14">
        <v>0</v>
      </c>
      <c r="X188" s="15">
        <v>0</v>
      </c>
      <c r="Y188" s="15">
        <v>0</v>
      </c>
      <c r="Z188" s="15">
        <v>487</v>
      </c>
      <c r="AA188" s="15">
        <v>379</v>
      </c>
      <c r="AB188" s="15">
        <v>2.5</v>
      </c>
      <c r="AC188" s="15">
        <v>13.66</v>
      </c>
      <c r="AD188" s="16">
        <v>0</v>
      </c>
    </row>
    <row r="189" spans="1:30" ht="15" customHeight="1" x14ac:dyDescent="0.25">
      <c r="A189" s="13">
        <v>188</v>
      </c>
      <c r="B189" s="14">
        <v>69.5</v>
      </c>
      <c r="C189" s="15">
        <v>18</v>
      </c>
      <c r="D189" s="15">
        <v>0</v>
      </c>
      <c r="E189" s="15">
        <v>3</v>
      </c>
      <c r="F189" s="15">
        <v>5.5</v>
      </c>
      <c r="G189" s="15">
        <v>0.25</v>
      </c>
      <c r="H189" s="15">
        <v>1</v>
      </c>
      <c r="I189" s="15">
        <v>0</v>
      </c>
      <c r="J189" s="15">
        <v>0</v>
      </c>
      <c r="K189" s="15">
        <v>0</v>
      </c>
      <c r="L189" s="15">
        <v>0</v>
      </c>
      <c r="M189" s="15">
        <v>2.5</v>
      </c>
      <c r="N189" s="15">
        <v>0</v>
      </c>
      <c r="O189" s="15">
        <v>0</v>
      </c>
      <c r="P189" s="15">
        <v>0.25</v>
      </c>
      <c r="Q189" s="15">
        <v>0</v>
      </c>
      <c r="R189" s="15">
        <v>0</v>
      </c>
      <c r="S189" s="15">
        <v>0</v>
      </c>
      <c r="T189" s="15">
        <v>0</v>
      </c>
      <c r="U189" s="15">
        <v>0.25</v>
      </c>
      <c r="V189" s="16">
        <v>0</v>
      </c>
      <c r="W189" s="14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14.25</v>
      </c>
      <c r="AD189" s="16">
        <v>0</v>
      </c>
    </row>
    <row r="190" spans="1:30" ht="15" customHeight="1" x14ac:dyDescent="0.25">
      <c r="A190" s="13">
        <v>189</v>
      </c>
      <c r="B190" s="14">
        <v>69.5</v>
      </c>
      <c r="C190" s="15">
        <v>18</v>
      </c>
      <c r="D190" s="15">
        <v>0</v>
      </c>
      <c r="E190" s="15">
        <v>4.25</v>
      </c>
      <c r="F190" s="15">
        <v>4.25</v>
      </c>
      <c r="G190" s="15">
        <v>0.25</v>
      </c>
      <c r="H190" s="15">
        <v>1</v>
      </c>
      <c r="I190" s="15">
        <v>0</v>
      </c>
      <c r="J190" s="15">
        <v>0</v>
      </c>
      <c r="K190" s="15">
        <v>0</v>
      </c>
      <c r="L190" s="15">
        <v>0</v>
      </c>
      <c r="M190" s="15">
        <v>2.5</v>
      </c>
      <c r="N190" s="15">
        <v>0</v>
      </c>
      <c r="O190" s="15">
        <v>0</v>
      </c>
      <c r="P190" s="15">
        <v>0.25</v>
      </c>
      <c r="Q190" s="15">
        <v>0</v>
      </c>
      <c r="R190" s="15">
        <v>0</v>
      </c>
      <c r="S190" s="15">
        <v>0</v>
      </c>
      <c r="T190" s="15">
        <v>0</v>
      </c>
      <c r="U190" s="15">
        <v>0.25</v>
      </c>
      <c r="V190" s="16">
        <v>0</v>
      </c>
      <c r="W190" s="14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14.2</v>
      </c>
      <c r="AD190" s="16">
        <v>0</v>
      </c>
    </row>
    <row r="191" spans="1:30" ht="15" customHeight="1" x14ac:dyDescent="0.25">
      <c r="A191" s="13">
        <v>190</v>
      </c>
      <c r="B191" s="14">
        <v>69.5</v>
      </c>
      <c r="C191" s="15">
        <v>18</v>
      </c>
      <c r="D191" s="15">
        <v>0</v>
      </c>
      <c r="E191" s="15">
        <v>6</v>
      </c>
      <c r="F191" s="15">
        <v>2.5</v>
      </c>
      <c r="G191" s="15">
        <v>0.25</v>
      </c>
      <c r="H191" s="15">
        <v>1</v>
      </c>
      <c r="I191" s="15">
        <v>0</v>
      </c>
      <c r="J191" s="15">
        <v>0</v>
      </c>
      <c r="K191" s="15">
        <v>0</v>
      </c>
      <c r="L191" s="15">
        <v>0</v>
      </c>
      <c r="M191" s="15">
        <v>2.5</v>
      </c>
      <c r="N191" s="15">
        <v>0</v>
      </c>
      <c r="O191" s="15">
        <v>0</v>
      </c>
      <c r="P191" s="15">
        <v>0.25</v>
      </c>
      <c r="Q191" s="15">
        <v>0</v>
      </c>
      <c r="R191" s="15">
        <v>0</v>
      </c>
      <c r="S191" s="15">
        <v>0</v>
      </c>
      <c r="T191" s="15">
        <v>0</v>
      </c>
      <c r="U191" s="15">
        <v>0.25</v>
      </c>
      <c r="V191" s="16">
        <v>0</v>
      </c>
      <c r="W191" s="14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14.3</v>
      </c>
      <c r="AD191" s="16">
        <v>0</v>
      </c>
    </row>
    <row r="192" spans="1:30" ht="15" customHeight="1" x14ac:dyDescent="0.25">
      <c r="A192" s="13">
        <v>191</v>
      </c>
      <c r="B192" s="14">
        <v>62.5</v>
      </c>
      <c r="C192" s="15">
        <v>25</v>
      </c>
      <c r="D192" s="15">
        <v>0</v>
      </c>
      <c r="E192" s="15">
        <v>3</v>
      </c>
      <c r="F192" s="15">
        <v>5.5</v>
      </c>
      <c r="G192" s="15">
        <v>0.25</v>
      </c>
      <c r="H192" s="15">
        <v>1</v>
      </c>
      <c r="I192" s="15">
        <v>0</v>
      </c>
      <c r="J192" s="15">
        <v>0</v>
      </c>
      <c r="K192" s="15">
        <v>0</v>
      </c>
      <c r="L192" s="15">
        <v>0</v>
      </c>
      <c r="M192" s="15">
        <v>2.5</v>
      </c>
      <c r="N192" s="15">
        <v>0</v>
      </c>
      <c r="O192" s="15">
        <v>0</v>
      </c>
      <c r="P192" s="15">
        <v>0.25</v>
      </c>
      <c r="Q192" s="15">
        <v>0</v>
      </c>
      <c r="R192" s="15">
        <v>0</v>
      </c>
      <c r="S192" s="15">
        <v>0</v>
      </c>
      <c r="T192" s="15">
        <v>0</v>
      </c>
      <c r="U192" s="15">
        <v>0.25</v>
      </c>
      <c r="V192" s="16">
        <v>0</v>
      </c>
      <c r="W192" s="14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12.81</v>
      </c>
      <c r="AD192" s="16">
        <v>0</v>
      </c>
    </row>
    <row r="193" spans="1:30" ht="15" customHeight="1" x14ac:dyDescent="0.25">
      <c r="A193" s="13">
        <v>192</v>
      </c>
      <c r="B193" s="14">
        <v>61.75</v>
      </c>
      <c r="C193" s="15">
        <v>25</v>
      </c>
      <c r="D193" s="15">
        <v>0</v>
      </c>
      <c r="E193" s="15">
        <v>3</v>
      </c>
      <c r="F193" s="15">
        <v>5.5</v>
      </c>
      <c r="G193" s="15">
        <v>1</v>
      </c>
      <c r="H193" s="15">
        <v>1</v>
      </c>
      <c r="I193" s="15">
        <v>0</v>
      </c>
      <c r="J193" s="15">
        <v>0</v>
      </c>
      <c r="K193" s="15">
        <v>0</v>
      </c>
      <c r="L193" s="15">
        <v>0</v>
      </c>
      <c r="M193" s="15">
        <v>2.5</v>
      </c>
      <c r="N193" s="15">
        <v>0</v>
      </c>
      <c r="O193" s="15">
        <v>0</v>
      </c>
      <c r="P193" s="15">
        <v>0.25</v>
      </c>
      <c r="Q193" s="15">
        <v>0</v>
      </c>
      <c r="R193" s="15">
        <v>0</v>
      </c>
      <c r="S193" s="15">
        <v>0</v>
      </c>
      <c r="T193" s="15">
        <v>0</v>
      </c>
      <c r="U193" s="15">
        <v>0.25</v>
      </c>
      <c r="V193" s="16">
        <v>0</v>
      </c>
      <c r="W193" s="14">
        <v>0</v>
      </c>
      <c r="X193" s="15">
        <v>0</v>
      </c>
      <c r="Y193" s="15">
        <v>0</v>
      </c>
      <c r="Z193" s="15">
        <v>406</v>
      </c>
      <c r="AA193" s="15">
        <v>336</v>
      </c>
      <c r="AB193" s="15">
        <v>3</v>
      </c>
      <c r="AC193" s="15">
        <v>14.2</v>
      </c>
      <c r="AD193" s="16">
        <v>0</v>
      </c>
    </row>
    <row r="194" spans="1:30" ht="15" customHeight="1" x14ac:dyDescent="0.25">
      <c r="A194" s="13">
        <v>193</v>
      </c>
      <c r="B194" s="14">
        <v>60.75</v>
      </c>
      <c r="C194" s="15">
        <v>25</v>
      </c>
      <c r="D194" s="15">
        <v>0</v>
      </c>
      <c r="E194" s="15">
        <v>3</v>
      </c>
      <c r="F194" s="15">
        <v>5.5</v>
      </c>
      <c r="G194" s="15">
        <v>2</v>
      </c>
      <c r="H194" s="15">
        <v>1</v>
      </c>
      <c r="I194" s="15">
        <v>0</v>
      </c>
      <c r="J194" s="15">
        <v>0</v>
      </c>
      <c r="K194" s="15">
        <v>0</v>
      </c>
      <c r="L194" s="15">
        <v>0</v>
      </c>
      <c r="M194" s="15">
        <v>2</v>
      </c>
      <c r="N194" s="15">
        <v>0</v>
      </c>
      <c r="O194" s="15">
        <v>0</v>
      </c>
      <c r="P194" s="15">
        <v>0.25</v>
      </c>
      <c r="Q194" s="15">
        <v>0</v>
      </c>
      <c r="R194" s="15">
        <v>0</v>
      </c>
      <c r="S194" s="15">
        <v>0</v>
      </c>
      <c r="T194" s="15">
        <v>0</v>
      </c>
      <c r="U194" s="15">
        <v>0.25</v>
      </c>
      <c r="V194" s="16">
        <v>0</v>
      </c>
      <c r="W194" s="14">
        <v>0</v>
      </c>
      <c r="X194" s="15">
        <v>0</v>
      </c>
      <c r="Y194" s="15">
        <v>0</v>
      </c>
      <c r="Z194" s="15">
        <v>548</v>
      </c>
      <c r="AA194" s="15">
        <v>386</v>
      </c>
      <c r="AB194" s="15">
        <v>8.5</v>
      </c>
      <c r="AC194" s="15">
        <v>13.57</v>
      </c>
      <c r="AD194" s="16">
        <v>0</v>
      </c>
    </row>
    <row r="195" spans="1:30" ht="15" customHeight="1" x14ac:dyDescent="0.25">
      <c r="A195" s="13">
        <v>194</v>
      </c>
      <c r="B195" s="14">
        <v>63</v>
      </c>
      <c r="C195" s="15">
        <v>22</v>
      </c>
      <c r="D195" s="15">
        <v>0</v>
      </c>
      <c r="E195" s="15">
        <v>11</v>
      </c>
      <c r="F195" s="15">
        <v>0</v>
      </c>
      <c r="G195" s="15">
        <v>0</v>
      </c>
      <c r="H195" s="15">
        <v>2</v>
      </c>
      <c r="I195" s="15">
        <v>0</v>
      </c>
      <c r="J195" s="15">
        <v>0</v>
      </c>
      <c r="K195" s="15">
        <v>0</v>
      </c>
      <c r="L195" s="15">
        <v>0</v>
      </c>
      <c r="M195" s="15">
        <v>3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6">
        <v>0</v>
      </c>
      <c r="W195" s="14">
        <v>0</v>
      </c>
      <c r="X195" s="15">
        <v>0</v>
      </c>
      <c r="Y195" s="15">
        <v>0</v>
      </c>
      <c r="Z195" s="15">
        <v>581</v>
      </c>
      <c r="AA195" s="15">
        <v>524</v>
      </c>
      <c r="AB195" s="15">
        <v>1.5</v>
      </c>
      <c r="AC195" s="15">
        <v>14.07</v>
      </c>
      <c r="AD195" s="16">
        <v>0</v>
      </c>
    </row>
    <row r="196" spans="1:30" ht="15" customHeight="1" x14ac:dyDescent="0.25">
      <c r="A196" s="13">
        <v>195</v>
      </c>
      <c r="B196" s="14">
        <v>62</v>
      </c>
      <c r="C196" s="15">
        <v>22</v>
      </c>
      <c r="D196" s="15">
        <v>0</v>
      </c>
      <c r="E196" s="15">
        <v>11</v>
      </c>
      <c r="F196" s="15">
        <v>0</v>
      </c>
      <c r="G196" s="15">
        <v>0</v>
      </c>
      <c r="H196" s="15">
        <v>2</v>
      </c>
      <c r="I196" s="15">
        <v>0</v>
      </c>
      <c r="J196" s="15">
        <v>0</v>
      </c>
      <c r="K196" s="15">
        <v>0</v>
      </c>
      <c r="L196" s="15">
        <v>0</v>
      </c>
      <c r="M196" s="15">
        <v>3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6">
        <v>0</v>
      </c>
      <c r="W196" s="14">
        <v>0</v>
      </c>
      <c r="X196" s="15">
        <v>0</v>
      </c>
      <c r="Y196" s="15">
        <v>0</v>
      </c>
      <c r="Z196" s="15">
        <v>628</v>
      </c>
      <c r="AA196" s="15">
        <v>483</v>
      </c>
      <c r="AB196" s="15">
        <v>12</v>
      </c>
      <c r="AC196" s="15">
        <v>14.1</v>
      </c>
      <c r="AD196" s="16">
        <v>0</v>
      </c>
    </row>
    <row r="197" spans="1:30" ht="15" customHeight="1" x14ac:dyDescent="0.25">
      <c r="A197" s="13">
        <v>196</v>
      </c>
      <c r="B197" s="14">
        <v>61.75</v>
      </c>
      <c r="C197" s="15">
        <v>22</v>
      </c>
      <c r="D197" s="15">
        <v>0</v>
      </c>
      <c r="E197" s="15">
        <v>11</v>
      </c>
      <c r="F197" s="15">
        <v>0</v>
      </c>
      <c r="G197" s="15">
        <v>0</v>
      </c>
      <c r="H197" s="15">
        <v>2</v>
      </c>
      <c r="I197" s="15">
        <v>0</v>
      </c>
      <c r="J197" s="15">
        <v>0</v>
      </c>
      <c r="K197" s="15">
        <v>0</v>
      </c>
      <c r="L197" s="15">
        <v>0</v>
      </c>
      <c r="M197" s="15">
        <v>3</v>
      </c>
      <c r="N197" s="15">
        <v>0</v>
      </c>
      <c r="O197" s="15">
        <v>0</v>
      </c>
      <c r="P197" s="15">
        <v>0.25</v>
      </c>
      <c r="Q197" s="15">
        <v>0</v>
      </c>
      <c r="R197" s="15">
        <v>0</v>
      </c>
      <c r="S197" s="15">
        <v>0</v>
      </c>
      <c r="T197" s="15">
        <v>0</v>
      </c>
      <c r="U197" s="15">
        <v>0.25</v>
      </c>
      <c r="V197" s="16">
        <v>0</v>
      </c>
      <c r="W197" s="14">
        <v>0</v>
      </c>
      <c r="X197" s="15">
        <v>0</v>
      </c>
      <c r="Y197" s="15">
        <v>0</v>
      </c>
      <c r="Z197" s="15">
        <v>650</v>
      </c>
      <c r="AA197" s="15">
        <v>485</v>
      </c>
      <c r="AB197" s="15">
        <v>14</v>
      </c>
      <c r="AC197" s="15">
        <v>14.1</v>
      </c>
      <c r="AD197" s="16">
        <v>0</v>
      </c>
    </row>
    <row r="198" spans="1:30" ht="15" customHeight="1" x14ac:dyDescent="0.25">
      <c r="A198" s="13">
        <v>197</v>
      </c>
      <c r="B198" s="14">
        <v>59.75</v>
      </c>
      <c r="C198" s="15">
        <v>22</v>
      </c>
      <c r="D198" s="15">
        <v>0</v>
      </c>
      <c r="E198" s="15">
        <v>11</v>
      </c>
      <c r="F198" s="15">
        <v>0</v>
      </c>
      <c r="G198" s="15">
        <v>0</v>
      </c>
      <c r="H198" s="15">
        <v>4</v>
      </c>
      <c r="I198" s="15">
        <v>0</v>
      </c>
      <c r="J198" s="15">
        <v>0</v>
      </c>
      <c r="K198" s="15">
        <v>0</v>
      </c>
      <c r="L198" s="15">
        <v>0</v>
      </c>
      <c r="M198" s="15">
        <v>3</v>
      </c>
      <c r="N198" s="15">
        <v>0</v>
      </c>
      <c r="O198" s="15">
        <v>0</v>
      </c>
      <c r="P198" s="15">
        <v>0.25</v>
      </c>
      <c r="Q198" s="15">
        <v>0</v>
      </c>
      <c r="R198" s="15">
        <v>0</v>
      </c>
      <c r="S198" s="15">
        <v>0</v>
      </c>
      <c r="T198" s="15">
        <v>0</v>
      </c>
      <c r="U198" s="15">
        <v>0.25</v>
      </c>
      <c r="V198" s="16">
        <v>0</v>
      </c>
      <c r="W198" s="14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14.3</v>
      </c>
      <c r="AD198" s="16">
        <v>0</v>
      </c>
    </row>
    <row r="199" spans="1:30" ht="15" customHeight="1" x14ac:dyDescent="0.25">
      <c r="A199" s="13">
        <v>198</v>
      </c>
      <c r="B199" s="14">
        <v>75</v>
      </c>
      <c r="C199" s="15">
        <v>12.5</v>
      </c>
      <c r="D199" s="15">
        <v>0</v>
      </c>
      <c r="E199" s="15">
        <v>8</v>
      </c>
      <c r="F199" s="15">
        <v>7.5</v>
      </c>
      <c r="G199" s="15">
        <v>0</v>
      </c>
      <c r="H199" s="15">
        <v>1.75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1.05</v>
      </c>
      <c r="S199" s="15">
        <v>0</v>
      </c>
      <c r="T199" s="15">
        <v>0</v>
      </c>
      <c r="U199" s="15">
        <v>0</v>
      </c>
      <c r="V199" s="16">
        <v>0</v>
      </c>
      <c r="W199" s="14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6">
        <v>13.6</v>
      </c>
    </row>
    <row r="200" spans="1:30" ht="15" customHeight="1" x14ac:dyDescent="0.25">
      <c r="A200" s="13">
        <v>199</v>
      </c>
      <c r="B200" s="14">
        <v>61.89</v>
      </c>
      <c r="C200" s="15">
        <v>23.5</v>
      </c>
      <c r="D200" s="15">
        <v>6.5</v>
      </c>
      <c r="E200" s="15">
        <v>0</v>
      </c>
      <c r="F200" s="15">
        <v>0</v>
      </c>
      <c r="G200" s="15">
        <v>0</v>
      </c>
      <c r="H200" s="15">
        <v>0.1</v>
      </c>
      <c r="I200" s="15">
        <v>2.5000000000000001E-2</v>
      </c>
      <c r="J200" s="15">
        <v>0</v>
      </c>
      <c r="K200" s="15">
        <v>0</v>
      </c>
      <c r="L200" s="15">
        <v>0</v>
      </c>
      <c r="M200" s="15">
        <v>3.25</v>
      </c>
      <c r="N200" s="15">
        <v>0.25</v>
      </c>
      <c r="O200" s="15">
        <v>0.25</v>
      </c>
      <c r="P200" s="15">
        <v>0</v>
      </c>
      <c r="Q200" s="15">
        <v>0.25</v>
      </c>
      <c r="R200" s="15">
        <v>0</v>
      </c>
      <c r="S200" s="15">
        <v>0.375</v>
      </c>
      <c r="T200" s="15">
        <v>5.0000000000000001E-3</v>
      </c>
      <c r="U200" s="15">
        <v>0</v>
      </c>
      <c r="V200" s="16">
        <v>0</v>
      </c>
      <c r="W200" s="14">
        <v>0</v>
      </c>
      <c r="X200" s="15">
        <v>0</v>
      </c>
      <c r="Y200" s="15">
        <v>240</v>
      </c>
      <c r="Z200" s="15">
        <v>250</v>
      </c>
      <c r="AA200" s="15">
        <v>260</v>
      </c>
      <c r="AB200" s="15">
        <v>7.5</v>
      </c>
      <c r="AC200" s="15">
        <v>0</v>
      </c>
      <c r="AD200" s="16">
        <v>0</v>
      </c>
    </row>
    <row r="201" spans="1:30" ht="15" customHeight="1" x14ac:dyDescent="0.25">
      <c r="A201" s="13">
        <v>200</v>
      </c>
      <c r="B201" s="14">
        <v>66.650000000000006</v>
      </c>
      <c r="C201" s="15">
        <v>13</v>
      </c>
      <c r="D201" s="15">
        <v>0</v>
      </c>
      <c r="E201" s="15">
        <v>0</v>
      </c>
      <c r="F201" s="15">
        <v>7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0.75</v>
      </c>
      <c r="N201" s="15">
        <v>0.1</v>
      </c>
      <c r="O201" s="15">
        <v>5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6">
        <v>0</v>
      </c>
      <c r="W201" s="14">
        <v>0</v>
      </c>
      <c r="X201" s="15">
        <v>0</v>
      </c>
      <c r="Y201" s="15">
        <v>158</v>
      </c>
      <c r="Z201" s="15">
        <v>495.6</v>
      </c>
      <c r="AA201" s="15">
        <v>356</v>
      </c>
      <c r="AB201" s="15">
        <v>8</v>
      </c>
      <c r="AC201" s="15">
        <v>0</v>
      </c>
      <c r="AD201" s="16">
        <v>0</v>
      </c>
    </row>
    <row r="202" spans="1:30" ht="15" customHeight="1" x14ac:dyDescent="0.25">
      <c r="A202" s="13">
        <v>201</v>
      </c>
      <c r="B202" s="14">
        <v>66.23</v>
      </c>
      <c r="C202" s="15">
        <v>15</v>
      </c>
      <c r="D202" s="15">
        <v>0</v>
      </c>
      <c r="E202" s="15">
        <v>0</v>
      </c>
      <c r="F202" s="15">
        <v>0</v>
      </c>
      <c r="G202" s="15">
        <v>0</v>
      </c>
      <c r="H202" s="15">
        <v>1</v>
      </c>
      <c r="I202" s="15">
        <v>0.27500000000000002</v>
      </c>
      <c r="J202" s="15">
        <v>0</v>
      </c>
      <c r="K202" s="15">
        <v>0</v>
      </c>
      <c r="L202" s="15">
        <v>4</v>
      </c>
      <c r="M202" s="15">
        <v>2</v>
      </c>
      <c r="N202" s="15">
        <v>7</v>
      </c>
      <c r="O202" s="15">
        <v>4.5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6">
        <v>0</v>
      </c>
      <c r="W202" s="14">
        <v>0</v>
      </c>
      <c r="X202" s="15">
        <v>188.5</v>
      </c>
      <c r="Y202" s="15">
        <v>197</v>
      </c>
      <c r="Z202" s="15">
        <v>628.20000000000005</v>
      </c>
      <c r="AA202" s="15">
        <v>383.9</v>
      </c>
      <c r="AB202" s="15">
        <v>12.5</v>
      </c>
      <c r="AC202" s="15">
        <v>17.2</v>
      </c>
      <c r="AD202" s="16">
        <v>0</v>
      </c>
    </row>
    <row r="203" spans="1:30" ht="15" customHeight="1" x14ac:dyDescent="0.25">
      <c r="A203" s="13">
        <v>202</v>
      </c>
      <c r="B203" s="14">
        <v>63</v>
      </c>
      <c r="C203" s="15">
        <v>20.5</v>
      </c>
      <c r="D203" s="15">
        <v>0</v>
      </c>
      <c r="E203" s="15">
        <v>0</v>
      </c>
      <c r="F203" s="15">
        <v>8</v>
      </c>
      <c r="G203" s="15">
        <v>0.105</v>
      </c>
      <c r="H203" s="15">
        <v>0.505</v>
      </c>
      <c r="I203" s="15">
        <v>0.505</v>
      </c>
      <c r="J203" s="15">
        <v>0</v>
      </c>
      <c r="K203" s="15">
        <v>2.0499999999999998</v>
      </c>
      <c r="L203" s="15">
        <v>2.0499999999999998</v>
      </c>
      <c r="M203" s="15">
        <v>0.255</v>
      </c>
      <c r="N203" s="15">
        <v>0.20499999999999999</v>
      </c>
      <c r="O203" s="15">
        <v>1.1000000000000001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6">
        <v>0</v>
      </c>
      <c r="W203" s="14">
        <v>0</v>
      </c>
      <c r="X203" s="15">
        <v>188.5</v>
      </c>
      <c r="Y203" s="15">
        <v>200</v>
      </c>
      <c r="Z203" s="15">
        <v>523.5</v>
      </c>
      <c r="AA203" s="15">
        <v>376.9</v>
      </c>
      <c r="AB203" s="15">
        <v>8</v>
      </c>
      <c r="AC203" s="15">
        <v>0</v>
      </c>
      <c r="AD203" s="16">
        <v>14</v>
      </c>
    </row>
    <row r="204" spans="1:30" ht="15" customHeight="1" x14ac:dyDescent="0.25">
      <c r="A204" s="13">
        <v>203</v>
      </c>
      <c r="B204" s="14">
        <v>81.599999999999994</v>
      </c>
      <c r="C204" s="15">
        <v>12.5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4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1.9</v>
      </c>
      <c r="S204" s="15">
        <v>0</v>
      </c>
      <c r="T204" s="15">
        <v>0</v>
      </c>
      <c r="U204" s="15">
        <v>0</v>
      </c>
      <c r="V204" s="16">
        <v>0</v>
      </c>
      <c r="W204" s="14">
        <v>0</v>
      </c>
      <c r="X204" s="15">
        <v>0</v>
      </c>
      <c r="Y204" s="15">
        <v>310</v>
      </c>
      <c r="Z204" s="15">
        <v>907.4</v>
      </c>
      <c r="AA204" s="15">
        <v>593.29999999999995</v>
      </c>
      <c r="AB204" s="15">
        <v>9</v>
      </c>
      <c r="AC204" s="15">
        <v>0</v>
      </c>
      <c r="AD204" s="16">
        <v>14</v>
      </c>
    </row>
    <row r="205" spans="1:30" ht="15" customHeight="1" x14ac:dyDescent="0.25">
      <c r="A205" s="13">
        <v>204</v>
      </c>
      <c r="B205" s="14">
        <v>47.43</v>
      </c>
      <c r="C205" s="15">
        <v>21.75</v>
      </c>
      <c r="D205" s="15">
        <v>1.25</v>
      </c>
      <c r="E205" s="15">
        <v>1</v>
      </c>
      <c r="F205" s="15">
        <v>9</v>
      </c>
      <c r="G205" s="15">
        <v>0</v>
      </c>
      <c r="H205" s="15">
        <v>0</v>
      </c>
      <c r="I205" s="15">
        <v>7.4999999999999997E-2</v>
      </c>
      <c r="J205" s="15">
        <v>0</v>
      </c>
      <c r="K205" s="15">
        <v>0</v>
      </c>
      <c r="L205" s="15">
        <v>0</v>
      </c>
      <c r="M205" s="15">
        <v>0.5</v>
      </c>
      <c r="N205" s="15">
        <v>0.5</v>
      </c>
      <c r="O205" s="15">
        <v>18.5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6">
        <v>0</v>
      </c>
      <c r="W205" s="14">
        <v>0</v>
      </c>
      <c r="X205" s="15">
        <v>0</v>
      </c>
      <c r="Y205" s="15">
        <v>0</v>
      </c>
      <c r="Z205" s="15">
        <v>963.2</v>
      </c>
      <c r="AA205" s="15">
        <v>753.8</v>
      </c>
      <c r="AB205" s="15">
        <v>10.199999999999999</v>
      </c>
      <c r="AC205" s="15">
        <v>0</v>
      </c>
      <c r="AD205" s="16">
        <v>0</v>
      </c>
    </row>
    <row r="206" spans="1:30" ht="15" customHeight="1" x14ac:dyDescent="0.25">
      <c r="A206" s="13">
        <v>205</v>
      </c>
      <c r="B206" s="14">
        <v>74</v>
      </c>
      <c r="C206" s="15">
        <v>17.5</v>
      </c>
      <c r="D206" s="15">
        <v>0</v>
      </c>
      <c r="E206" s="15">
        <v>0</v>
      </c>
      <c r="F206" s="15">
        <v>4.5</v>
      </c>
      <c r="G206" s="15">
        <v>0</v>
      </c>
      <c r="H206" s="15">
        <v>1.5249999999999999</v>
      </c>
      <c r="I206" s="15">
        <v>0</v>
      </c>
      <c r="J206" s="15">
        <v>0</v>
      </c>
      <c r="K206" s="15">
        <v>0</v>
      </c>
      <c r="L206" s="15">
        <v>3</v>
      </c>
      <c r="M206" s="15">
        <v>2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0.55000000000000004</v>
      </c>
      <c r="T206" s="15">
        <v>0</v>
      </c>
      <c r="U206" s="15">
        <v>0</v>
      </c>
      <c r="V206" s="16">
        <v>2.75</v>
      </c>
      <c r="W206" s="14">
        <v>0</v>
      </c>
      <c r="X206" s="15">
        <v>0</v>
      </c>
      <c r="Y206" s="15">
        <v>0</v>
      </c>
      <c r="Z206" s="15">
        <v>558.4</v>
      </c>
      <c r="AA206" s="15">
        <v>363</v>
      </c>
      <c r="AB206" s="15">
        <v>5</v>
      </c>
      <c r="AC206" s="15">
        <v>0</v>
      </c>
      <c r="AD206" s="16">
        <v>14</v>
      </c>
    </row>
    <row r="207" spans="1:30" ht="15" customHeight="1" x14ac:dyDescent="0.25">
      <c r="A207" s="13">
        <v>206</v>
      </c>
      <c r="B207" s="14">
        <v>68.25</v>
      </c>
      <c r="C207" s="15">
        <v>20</v>
      </c>
      <c r="D207" s="15">
        <v>0</v>
      </c>
      <c r="E207" s="15">
        <v>0</v>
      </c>
      <c r="F207" s="15">
        <v>4.5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2.5</v>
      </c>
      <c r="N207" s="15">
        <v>1.25</v>
      </c>
      <c r="O207" s="15">
        <v>0</v>
      </c>
      <c r="P207" s="15">
        <v>0</v>
      </c>
      <c r="Q207" s="15">
        <v>1.5</v>
      </c>
      <c r="R207" s="15">
        <v>0</v>
      </c>
      <c r="S207" s="15">
        <v>0</v>
      </c>
      <c r="T207" s="15">
        <v>0</v>
      </c>
      <c r="U207" s="15">
        <v>0</v>
      </c>
      <c r="V207" s="16">
        <v>2</v>
      </c>
      <c r="W207" s="14">
        <v>0</v>
      </c>
      <c r="X207" s="15">
        <v>0</v>
      </c>
      <c r="Y207" s="15">
        <v>158</v>
      </c>
      <c r="Z207" s="15">
        <v>0</v>
      </c>
      <c r="AA207" s="15">
        <v>345.5</v>
      </c>
      <c r="AB207" s="15">
        <v>13</v>
      </c>
      <c r="AC207" s="15">
        <v>0</v>
      </c>
      <c r="AD207" s="16">
        <v>0</v>
      </c>
    </row>
    <row r="208" spans="1:30" ht="15" customHeight="1" x14ac:dyDescent="0.25">
      <c r="A208" s="13">
        <v>207</v>
      </c>
      <c r="B208" s="14">
        <v>68.25</v>
      </c>
      <c r="C208" s="15">
        <v>20</v>
      </c>
      <c r="D208" s="15">
        <v>0</v>
      </c>
      <c r="E208" s="15">
        <v>0</v>
      </c>
      <c r="F208" s="15">
        <v>4.5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2.5</v>
      </c>
      <c r="N208" s="15">
        <v>1.25</v>
      </c>
      <c r="O208" s="15">
        <v>0</v>
      </c>
      <c r="P208" s="15">
        <v>0</v>
      </c>
      <c r="Q208" s="15">
        <v>1.5</v>
      </c>
      <c r="R208" s="15">
        <v>0</v>
      </c>
      <c r="S208" s="15">
        <v>0</v>
      </c>
      <c r="T208" s="15">
        <v>0</v>
      </c>
      <c r="U208" s="15">
        <v>0</v>
      </c>
      <c r="V208" s="16">
        <v>1</v>
      </c>
      <c r="W208" s="14">
        <v>0</v>
      </c>
      <c r="X208" s="15">
        <v>0</v>
      </c>
      <c r="Y208" s="15">
        <v>155</v>
      </c>
      <c r="Z208" s="15">
        <v>462.8</v>
      </c>
      <c r="AA208" s="15">
        <v>297.3</v>
      </c>
      <c r="AB208" s="15">
        <v>11</v>
      </c>
      <c r="AC208" s="15">
        <v>0</v>
      </c>
      <c r="AD208" s="16">
        <v>0</v>
      </c>
    </row>
    <row r="209" spans="1:30" ht="15" customHeight="1" x14ac:dyDescent="0.25">
      <c r="A209" s="13">
        <v>208</v>
      </c>
      <c r="B209" s="14">
        <v>68.25</v>
      </c>
      <c r="C209" s="15">
        <v>20</v>
      </c>
      <c r="D209" s="15">
        <v>0</v>
      </c>
      <c r="E209" s="15">
        <v>0</v>
      </c>
      <c r="F209" s="15">
        <v>4.5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2.5</v>
      </c>
      <c r="N209" s="15">
        <v>1.25</v>
      </c>
      <c r="O209" s="15">
        <v>0</v>
      </c>
      <c r="P209" s="15">
        <v>0</v>
      </c>
      <c r="Q209" s="15">
        <v>1.5</v>
      </c>
      <c r="R209" s="15">
        <v>0</v>
      </c>
      <c r="S209" s="15">
        <v>0</v>
      </c>
      <c r="T209" s="15">
        <v>0</v>
      </c>
      <c r="U209" s="15">
        <v>0</v>
      </c>
      <c r="V209" s="16">
        <v>0</v>
      </c>
      <c r="W209" s="14">
        <v>0</v>
      </c>
      <c r="X209" s="15">
        <v>0</v>
      </c>
      <c r="Y209" s="15">
        <v>153</v>
      </c>
      <c r="Z209" s="15">
        <v>551.4</v>
      </c>
      <c r="AA209" s="15">
        <v>359.5</v>
      </c>
      <c r="AB209" s="15">
        <v>14</v>
      </c>
      <c r="AC209" s="15">
        <v>0</v>
      </c>
      <c r="AD209" s="16">
        <v>0</v>
      </c>
    </row>
    <row r="210" spans="1:30" ht="15" customHeight="1" x14ac:dyDescent="0.25">
      <c r="A210" s="13">
        <v>209</v>
      </c>
      <c r="B210" s="14">
        <v>66.25</v>
      </c>
      <c r="C210" s="15">
        <v>20</v>
      </c>
      <c r="D210" s="15">
        <v>0</v>
      </c>
      <c r="E210" s="15">
        <v>0</v>
      </c>
      <c r="F210" s="15">
        <v>4.5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2.5</v>
      </c>
      <c r="N210" s="15">
        <v>1.25</v>
      </c>
      <c r="O210" s="15">
        <v>0</v>
      </c>
      <c r="P210" s="15">
        <v>0</v>
      </c>
      <c r="Q210" s="15">
        <v>1.5</v>
      </c>
      <c r="R210" s="15">
        <v>0</v>
      </c>
      <c r="S210" s="15">
        <v>0</v>
      </c>
      <c r="T210" s="15">
        <v>0</v>
      </c>
      <c r="U210" s="15">
        <v>0</v>
      </c>
      <c r="V210" s="16">
        <v>3</v>
      </c>
      <c r="W210" s="14">
        <v>0</v>
      </c>
      <c r="X210" s="15">
        <v>0</v>
      </c>
      <c r="Y210" s="15">
        <v>171</v>
      </c>
      <c r="Z210" s="15">
        <v>487.2</v>
      </c>
      <c r="AA210" s="15">
        <v>331.5</v>
      </c>
      <c r="AB210" s="15">
        <v>6</v>
      </c>
      <c r="AC210" s="15">
        <v>0</v>
      </c>
      <c r="AD210" s="16">
        <v>0</v>
      </c>
    </row>
    <row r="211" spans="1:30" ht="15" customHeight="1" x14ac:dyDescent="0.25">
      <c r="A211" s="13">
        <v>210</v>
      </c>
      <c r="B211" s="14">
        <v>66.25</v>
      </c>
      <c r="C211" s="15">
        <v>20</v>
      </c>
      <c r="D211" s="15">
        <v>0</v>
      </c>
      <c r="E211" s="15">
        <v>0</v>
      </c>
      <c r="F211" s="15">
        <v>4.5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2.5</v>
      </c>
      <c r="N211" s="15">
        <v>1.25</v>
      </c>
      <c r="O211" s="15">
        <v>0</v>
      </c>
      <c r="P211" s="15">
        <v>0</v>
      </c>
      <c r="Q211" s="15">
        <v>1.5</v>
      </c>
      <c r="R211" s="15">
        <v>0</v>
      </c>
      <c r="S211" s="15">
        <v>0</v>
      </c>
      <c r="T211" s="15">
        <v>0</v>
      </c>
      <c r="U211" s="15">
        <v>0</v>
      </c>
      <c r="V211" s="16">
        <v>2</v>
      </c>
      <c r="W211" s="14">
        <v>0</v>
      </c>
      <c r="X211" s="15">
        <v>0</v>
      </c>
      <c r="Y211" s="15">
        <v>167</v>
      </c>
      <c r="Z211" s="15">
        <v>513.70000000000005</v>
      </c>
      <c r="AA211" s="15">
        <v>330.9</v>
      </c>
      <c r="AB211" s="15">
        <v>11</v>
      </c>
      <c r="AC211" s="15">
        <v>0</v>
      </c>
      <c r="AD211" s="16">
        <v>0</v>
      </c>
    </row>
    <row r="212" spans="1:30" ht="15" customHeight="1" x14ac:dyDescent="0.25">
      <c r="A212" s="13">
        <v>211</v>
      </c>
      <c r="B212" s="14">
        <v>66.25</v>
      </c>
      <c r="C212" s="15">
        <v>20</v>
      </c>
      <c r="D212" s="15">
        <v>0</v>
      </c>
      <c r="E212" s="15">
        <v>0</v>
      </c>
      <c r="F212" s="15">
        <v>4.5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2.5</v>
      </c>
      <c r="N212" s="15">
        <v>1.25</v>
      </c>
      <c r="O212" s="15">
        <v>0</v>
      </c>
      <c r="P212" s="15">
        <v>0</v>
      </c>
      <c r="Q212" s="15">
        <v>1.5</v>
      </c>
      <c r="R212" s="15">
        <v>0</v>
      </c>
      <c r="S212" s="15">
        <v>0</v>
      </c>
      <c r="T212" s="15">
        <v>0</v>
      </c>
      <c r="U212" s="15">
        <v>0</v>
      </c>
      <c r="V212" s="16">
        <v>1</v>
      </c>
      <c r="W212" s="14">
        <v>0</v>
      </c>
      <c r="X212" s="15">
        <v>0</v>
      </c>
      <c r="Y212" s="15">
        <v>167</v>
      </c>
      <c r="Z212" s="15">
        <v>479.5</v>
      </c>
      <c r="AA212" s="15">
        <v>326</v>
      </c>
      <c r="AB212" s="15">
        <v>9</v>
      </c>
      <c r="AC212" s="15">
        <v>0</v>
      </c>
      <c r="AD212" s="16">
        <v>0</v>
      </c>
    </row>
    <row r="213" spans="1:30" ht="15" customHeight="1" x14ac:dyDescent="0.25">
      <c r="A213" s="13">
        <v>212</v>
      </c>
      <c r="B213" s="14">
        <v>75.5</v>
      </c>
      <c r="C213" s="15">
        <v>15</v>
      </c>
      <c r="D213" s="15">
        <v>0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0.5</v>
      </c>
      <c r="O213" s="15">
        <v>0</v>
      </c>
      <c r="P213" s="15">
        <v>0</v>
      </c>
      <c r="Q213" s="15">
        <v>1.5</v>
      </c>
      <c r="R213" s="15">
        <v>0</v>
      </c>
      <c r="S213" s="15">
        <v>0</v>
      </c>
      <c r="T213" s="15">
        <v>0</v>
      </c>
      <c r="U213" s="15">
        <v>0</v>
      </c>
      <c r="V213" s="16">
        <v>0</v>
      </c>
      <c r="W213" s="14">
        <v>0</v>
      </c>
      <c r="X213" s="15">
        <v>0</v>
      </c>
      <c r="Y213" s="15">
        <v>129</v>
      </c>
      <c r="Z213" s="15">
        <v>481.6</v>
      </c>
      <c r="AA213" s="15">
        <v>296.7</v>
      </c>
      <c r="AB213" s="15">
        <v>16</v>
      </c>
      <c r="AC213" s="15">
        <v>0</v>
      </c>
      <c r="AD213" s="16">
        <v>0</v>
      </c>
    </row>
    <row r="214" spans="1:30" ht="15" customHeight="1" x14ac:dyDescent="0.25">
      <c r="A214" s="13">
        <v>213</v>
      </c>
      <c r="B214" s="14">
        <v>68.25</v>
      </c>
      <c r="C214" s="15">
        <v>20</v>
      </c>
      <c r="D214" s="15">
        <v>0</v>
      </c>
      <c r="E214" s="15">
        <v>0</v>
      </c>
      <c r="F214" s="15">
        <v>4.5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2.5</v>
      </c>
      <c r="N214" s="15">
        <v>1.25</v>
      </c>
      <c r="O214" s="15">
        <v>0</v>
      </c>
      <c r="P214" s="15">
        <v>0</v>
      </c>
      <c r="Q214" s="15">
        <v>1.5</v>
      </c>
      <c r="R214" s="15">
        <v>0</v>
      </c>
      <c r="S214" s="15">
        <v>0</v>
      </c>
      <c r="T214" s="15">
        <v>0</v>
      </c>
      <c r="U214" s="15">
        <v>0</v>
      </c>
      <c r="V214" s="16">
        <v>2</v>
      </c>
      <c r="W214" s="14">
        <v>0</v>
      </c>
      <c r="X214" s="15">
        <v>0</v>
      </c>
      <c r="Y214" s="15">
        <v>158</v>
      </c>
      <c r="Z214" s="15">
        <v>0</v>
      </c>
      <c r="AA214" s="15">
        <v>345.5</v>
      </c>
      <c r="AB214" s="15">
        <v>13</v>
      </c>
      <c r="AC214" s="15">
        <v>0</v>
      </c>
      <c r="AD214" s="16">
        <v>0</v>
      </c>
    </row>
    <row r="215" spans="1:30" ht="15" customHeight="1" x14ac:dyDescent="0.25">
      <c r="A215" s="13">
        <v>214</v>
      </c>
      <c r="B215" s="14">
        <v>68.25</v>
      </c>
      <c r="C215" s="15">
        <v>20</v>
      </c>
      <c r="D215" s="15">
        <v>0</v>
      </c>
      <c r="E215" s="15">
        <v>0</v>
      </c>
      <c r="F215" s="15">
        <v>4.5</v>
      </c>
      <c r="G215" s="15">
        <v>0</v>
      </c>
      <c r="H215" s="15">
        <v>0</v>
      </c>
      <c r="I215" s="15">
        <v>5.0000000000000001E-3</v>
      </c>
      <c r="J215" s="15">
        <v>0</v>
      </c>
      <c r="K215" s="15">
        <v>0</v>
      </c>
      <c r="L215" s="15">
        <v>0</v>
      </c>
      <c r="M215" s="15">
        <v>2.5</v>
      </c>
      <c r="N215" s="15">
        <v>1.25</v>
      </c>
      <c r="O215" s="15">
        <v>0</v>
      </c>
      <c r="P215" s="15">
        <v>0</v>
      </c>
      <c r="Q215" s="15">
        <v>1.5</v>
      </c>
      <c r="R215" s="15">
        <v>0</v>
      </c>
      <c r="S215" s="15">
        <v>0</v>
      </c>
      <c r="T215" s="15">
        <v>0</v>
      </c>
      <c r="U215" s="15">
        <v>0</v>
      </c>
      <c r="V215" s="16">
        <v>1</v>
      </c>
      <c r="W215" s="14">
        <v>0</v>
      </c>
      <c r="X215" s="15">
        <v>0</v>
      </c>
      <c r="Y215" s="15">
        <v>155</v>
      </c>
      <c r="Z215" s="15">
        <v>462.8</v>
      </c>
      <c r="AA215" s="15">
        <v>297.3</v>
      </c>
      <c r="AB215" s="15">
        <v>11</v>
      </c>
      <c r="AC215" s="15">
        <v>0</v>
      </c>
      <c r="AD215" s="16">
        <v>0</v>
      </c>
    </row>
    <row r="216" spans="1:30" ht="15" customHeight="1" x14ac:dyDescent="0.25">
      <c r="A216" s="13">
        <v>215</v>
      </c>
      <c r="B216" s="14">
        <v>68.25</v>
      </c>
      <c r="C216" s="15">
        <v>20</v>
      </c>
      <c r="D216" s="15">
        <v>0</v>
      </c>
      <c r="E216" s="15">
        <v>0</v>
      </c>
      <c r="F216" s="15">
        <v>4.5</v>
      </c>
      <c r="G216" s="15">
        <v>0</v>
      </c>
      <c r="H216" s="15">
        <v>0</v>
      </c>
      <c r="I216" s="15">
        <v>5.0000000000000001E-3</v>
      </c>
      <c r="J216" s="15">
        <v>0</v>
      </c>
      <c r="K216" s="15">
        <v>0</v>
      </c>
      <c r="L216" s="15">
        <v>0</v>
      </c>
      <c r="M216" s="15">
        <v>2.5</v>
      </c>
      <c r="N216" s="15">
        <v>1.25</v>
      </c>
      <c r="O216" s="15">
        <v>0</v>
      </c>
      <c r="P216" s="15">
        <v>0</v>
      </c>
      <c r="Q216" s="15">
        <v>1.5</v>
      </c>
      <c r="R216" s="15">
        <v>0</v>
      </c>
      <c r="S216" s="15">
        <v>0</v>
      </c>
      <c r="T216" s="15">
        <v>0</v>
      </c>
      <c r="U216" s="15">
        <v>0</v>
      </c>
      <c r="V216" s="16">
        <v>0</v>
      </c>
      <c r="W216" s="14">
        <v>0</v>
      </c>
      <c r="X216" s="15">
        <v>0</v>
      </c>
      <c r="Y216" s="15">
        <v>188</v>
      </c>
      <c r="Z216" s="15">
        <v>551.4</v>
      </c>
      <c r="AA216" s="15">
        <v>359.5</v>
      </c>
      <c r="AB216" s="15">
        <v>14</v>
      </c>
      <c r="AC216" s="15">
        <v>0</v>
      </c>
      <c r="AD216" s="16">
        <v>0</v>
      </c>
    </row>
    <row r="217" spans="1:30" ht="15" customHeight="1" x14ac:dyDescent="0.25">
      <c r="A217" s="13">
        <v>216</v>
      </c>
      <c r="B217" s="14">
        <v>66.25</v>
      </c>
      <c r="C217" s="15">
        <v>20</v>
      </c>
      <c r="D217" s="15">
        <v>0</v>
      </c>
      <c r="E217" s="15">
        <v>0</v>
      </c>
      <c r="F217" s="15">
        <v>4.5</v>
      </c>
      <c r="G217" s="15">
        <v>0</v>
      </c>
      <c r="H217" s="15">
        <v>0</v>
      </c>
      <c r="I217" s="15">
        <v>5.0000000000000001E-3</v>
      </c>
      <c r="J217" s="15">
        <v>0</v>
      </c>
      <c r="K217" s="15">
        <v>0</v>
      </c>
      <c r="L217" s="15">
        <v>0</v>
      </c>
      <c r="M217" s="15">
        <v>2.5</v>
      </c>
      <c r="N217" s="15">
        <v>1.25</v>
      </c>
      <c r="O217" s="15">
        <v>0</v>
      </c>
      <c r="P217" s="15">
        <v>0</v>
      </c>
      <c r="Q217" s="15">
        <v>1.5</v>
      </c>
      <c r="R217" s="15">
        <v>0</v>
      </c>
      <c r="S217" s="15">
        <v>0</v>
      </c>
      <c r="T217" s="15">
        <v>0</v>
      </c>
      <c r="U217" s="15">
        <v>0</v>
      </c>
      <c r="V217" s="16">
        <v>3</v>
      </c>
      <c r="W217" s="14">
        <v>0</v>
      </c>
      <c r="X217" s="15">
        <v>0</v>
      </c>
      <c r="Y217" s="15">
        <v>171</v>
      </c>
      <c r="Z217" s="15">
        <v>424.4</v>
      </c>
      <c r="AA217" s="15">
        <v>331.6</v>
      </c>
      <c r="AB217" s="15">
        <v>6</v>
      </c>
      <c r="AC217" s="15">
        <v>0</v>
      </c>
      <c r="AD217" s="16">
        <v>0</v>
      </c>
    </row>
    <row r="218" spans="1:30" ht="15" customHeight="1" x14ac:dyDescent="0.25">
      <c r="A218" s="13">
        <v>217</v>
      </c>
      <c r="B218" s="14">
        <v>66.25</v>
      </c>
      <c r="C218" s="15">
        <v>20</v>
      </c>
      <c r="D218" s="15">
        <v>0</v>
      </c>
      <c r="E218" s="15">
        <v>0</v>
      </c>
      <c r="F218" s="15">
        <v>4.5</v>
      </c>
      <c r="G218" s="15">
        <v>0</v>
      </c>
      <c r="H218" s="15">
        <v>0</v>
      </c>
      <c r="I218" s="15">
        <v>5.0000000000000001E-3</v>
      </c>
      <c r="J218" s="15">
        <v>0</v>
      </c>
      <c r="K218" s="15">
        <v>0</v>
      </c>
      <c r="L218" s="15">
        <v>0</v>
      </c>
      <c r="M218" s="15">
        <v>2.5</v>
      </c>
      <c r="N218" s="15">
        <v>1.25</v>
      </c>
      <c r="O218" s="15">
        <v>0</v>
      </c>
      <c r="P218" s="15">
        <v>0</v>
      </c>
      <c r="Q218" s="15">
        <v>1.5</v>
      </c>
      <c r="R218" s="15">
        <v>0</v>
      </c>
      <c r="S218" s="15">
        <v>0</v>
      </c>
      <c r="T218" s="15">
        <v>0</v>
      </c>
      <c r="U218" s="15">
        <v>0</v>
      </c>
      <c r="V218" s="16">
        <v>2</v>
      </c>
      <c r="W218" s="14">
        <v>0</v>
      </c>
      <c r="X218" s="15">
        <v>0</v>
      </c>
      <c r="Y218" s="15">
        <v>167</v>
      </c>
      <c r="Z218" s="15">
        <v>513.70000000000005</v>
      </c>
      <c r="AA218" s="15">
        <v>330.9</v>
      </c>
      <c r="AB218" s="15">
        <v>11</v>
      </c>
      <c r="AC218" s="15">
        <v>0</v>
      </c>
      <c r="AD218" s="16">
        <v>0</v>
      </c>
    </row>
    <row r="219" spans="1:30" ht="15" customHeight="1" x14ac:dyDescent="0.25">
      <c r="A219" s="13">
        <v>218</v>
      </c>
      <c r="B219" s="14">
        <v>66.25</v>
      </c>
      <c r="C219" s="15">
        <v>20</v>
      </c>
      <c r="D219" s="15">
        <v>0</v>
      </c>
      <c r="E219" s="15">
        <v>0</v>
      </c>
      <c r="F219" s="15">
        <v>4.5</v>
      </c>
      <c r="G219" s="15">
        <v>0</v>
      </c>
      <c r="H219" s="15">
        <v>0</v>
      </c>
      <c r="I219" s="15">
        <v>5.0000000000000001E-3</v>
      </c>
      <c r="J219" s="15">
        <v>0</v>
      </c>
      <c r="K219" s="15">
        <v>0</v>
      </c>
      <c r="L219" s="15">
        <v>0</v>
      </c>
      <c r="M219" s="15">
        <v>2.5</v>
      </c>
      <c r="N219" s="15">
        <v>1.25</v>
      </c>
      <c r="O219" s="15">
        <v>0</v>
      </c>
      <c r="P219" s="15">
        <v>0</v>
      </c>
      <c r="Q219" s="15">
        <v>1.5</v>
      </c>
      <c r="R219" s="15">
        <v>0</v>
      </c>
      <c r="S219" s="15">
        <v>0</v>
      </c>
      <c r="T219" s="15">
        <v>0</v>
      </c>
      <c r="U219" s="15">
        <v>0</v>
      </c>
      <c r="V219" s="16">
        <v>1</v>
      </c>
      <c r="W219" s="14">
        <v>0</v>
      </c>
      <c r="X219" s="15">
        <v>0</v>
      </c>
      <c r="Y219" s="15">
        <v>167</v>
      </c>
      <c r="Z219" s="15">
        <v>479.5</v>
      </c>
      <c r="AA219" s="15">
        <v>326</v>
      </c>
      <c r="AB219" s="15">
        <v>9</v>
      </c>
      <c r="AC219" s="15">
        <v>0</v>
      </c>
      <c r="AD219" s="16">
        <v>0</v>
      </c>
    </row>
    <row r="220" spans="1:30" ht="15" customHeight="1" x14ac:dyDescent="0.25">
      <c r="A220" s="13">
        <v>219</v>
      </c>
      <c r="B220" s="14">
        <v>75.5</v>
      </c>
      <c r="C220" s="15">
        <v>15</v>
      </c>
      <c r="D220" s="15">
        <v>0</v>
      </c>
      <c r="E220" s="15">
        <v>0</v>
      </c>
      <c r="F220" s="15">
        <v>0</v>
      </c>
      <c r="G220" s="15">
        <v>0</v>
      </c>
      <c r="H220" s="15">
        <v>0</v>
      </c>
      <c r="I220" s="15">
        <v>5.0000000000000001E-3</v>
      </c>
      <c r="J220" s="15">
        <v>0</v>
      </c>
      <c r="K220" s="15">
        <v>0</v>
      </c>
      <c r="L220" s="15">
        <v>0</v>
      </c>
      <c r="M220" s="15">
        <v>0</v>
      </c>
      <c r="N220" s="15">
        <v>0.5</v>
      </c>
      <c r="O220" s="15">
        <v>0</v>
      </c>
      <c r="P220" s="15">
        <v>0</v>
      </c>
      <c r="Q220" s="15">
        <v>1.5</v>
      </c>
      <c r="R220" s="15">
        <v>0</v>
      </c>
      <c r="S220" s="15">
        <v>0</v>
      </c>
      <c r="T220" s="15">
        <v>0</v>
      </c>
      <c r="U220" s="15">
        <v>0</v>
      </c>
      <c r="V220" s="16">
        <v>0</v>
      </c>
      <c r="W220" s="14">
        <v>0</v>
      </c>
      <c r="X220" s="15">
        <v>0</v>
      </c>
      <c r="Y220" s="15">
        <v>129</v>
      </c>
      <c r="Z220" s="15">
        <v>481.6</v>
      </c>
      <c r="AA220" s="15">
        <v>296.7</v>
      </c>
      <c r="AB220" s="15">
        <v>16</v>
      </c>
      <c r="AC220" s="15">
        <v>0</v>
      </c>
      <c r="AD220" s="16">
        <v>0</v>
      </c>
    </row>
    <row r="221" spans="1:30" ht="15" customHeight="1" thickBot="1" x14ac:dyDescent="0.3">
      <c r="A221" s="19">
        <v>220</v>
      </c>
      <c r="B221" s="20">
        <v>63</v>
      </c>
      <c r="C221" s="21">
        <v>20.5</v>
      </c>
      <c r="D221" s="21">
        <v>8</v>
      </c>
      <c r="E221" s="21">
        <v>0</v>
      </c>
      <c r="F221" s="21">
        <v>8</v>
      </c>
      <c r="G221" s="21">
        <v>0.15</v>
      </c>
      <c r="H221" s="21">
        <v>5.5E-2</v>
      </c>
      <c r="I221" s="21">
        <v>5.5E-2</v>
      </c>
      <c r="J221" s="21">
        <v>0</v>
      </c>
      <c r="K221" s="21">
        <v>2.0499999999999998</v>
      </c>
      <c r="L221" s="21">
        <v>2.0499999999999998</v>
      </c>
      <c r="M221" s="21">
        <v>0.255</v>
      </c>
      <c r="N221" s="21">
        <v>0.20499999999999999</v>
      </c>
      <c r="O221" s="21">
        <v>1.1000000000000001</v>
      </c>
      <c r="P221" s="21">
        <v>0</v>
      </c>
      <c r="Q221" s="21">
        <v>0</v>
      </c>
      <c r="R221" s="21">
        <v>0</v>
      </c>
      <c r="S221" s="21">
        <v>0</v>
      </c>
      <c r="T221" s="21">
        <v>0</v>
      </c>
      <c r="U221" s="21">
        <v>0</v>
      </c>
      <c r="V221" s="22">
        <v>0</v>
      </c>
      <c r="W221" s="20">
        <v>0</v>
      </c>
      <c r="X221" s="21">
        <v>188.5</v>
      </c>
      <c r="Y221" s="21">
        <v>200</v>
      </c>
      <c r="Z221" s="21">
        <v>523.5</v>
      </c>
      <c r="AA221" s="21">
        <v>376.9</v>
      </c>
      <c r="AB221" s="21">
        <v>8</v>
      </c>
      <c r="AC221" s="21">
        <v>0</v>
      </c>
      <c r="AD221" s="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Sharigin</dc:creator>
  <cp:lastModifiedBy>Maxim Sharigin</cp:lastModifiedBy>
  <dcterms:created xsi:type="dcterms:W3CDTF">2015-06-05T18:19:34Z</dcterms:created>
  <dcterms:modified xsi:type="dcterms:W3CDTF">2026-05-11T22:01:44Z</dcterms:modified>
</cp:coreProperties>
</file>